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a30e69a4787da0f/Escritorio/cosas/PORTAFOLIO/EXEL ANALISIS DE VENTAS MAYO MILESI/"/>
    </mc:Choice>
  </mc:AlternateContent>
  <xr:revisionPtr revIDLastSave="1" documentId="8_{048E643D-A623-874F-A202-BF22F35C3C0D}" xr6:coauthVersionLast="47" xr6:coauthVersionMax="47" xr10:uidLastSave="{ED2E5A5A-C204-483B-8921-58D80AFFE7D8}"/>
  <bookViews>
    <workbookView xWindow="-108" yWindow="-108" windowWidth="23256" windowHeight="12456" xr2:uid="{00000000-000D-0000-FFFF-FFFF00000000}"/>
  </bookViews>
  <sheets>
    <sheet name="METRICAS" sheetId="4" r:id="rId1"/>
    <sheet name="VENTAS MAYO" sheetId="1" r:id="rId2"/>
  </sheets>
  <definedNames>
    <definedName name="_xlnm._FilterDatabase" localSheetId="1" hidden="1">'VENTAS MAYO'!$G$1:$G$78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4" l="1"/>
  <c r="D18" i="4"/>
  <c r="A18" i="4"/>
  <c r="J18" i="4"/>
</calcChain>
</file>

<file path=xl/sharedStrings.xml><?xml version="1.0" encoding="utf-8"?>
<sst xmlns="http://schemas.openxmlformats.org/spreadsheetml/2006/main" count="340" uniqueCount="194">
  <si>
    <t>Vendedor</t>
  </si>
  <si>
    <t>Código</t>
  </si>
  <si>
    <t>Descripción</t>
  </si>
  <si>
    <t>Facturas</t>
  </si>
  <si>
    <t>U. facturadas</t>
  </si>
  <si>
    <t>Subtotal neto facturas</t>
  </si>
  <si>
    <t>Notas de crédito</t>
  </si>
  <si>
    <t>U. de devolución</t>
  </si>
  <si>
    <t>Subtotal neto devoluciones</t>
  </si>
  <si>
    <t>Subtotal neto</t>
  </si>
  <si>
    <t>%</t>
  </si>
  <si>
    <t>CANDOR-GE-V</t>
  </si>
  <si>
    <t>ESCORIAL Cocina CANDOR Gas Env C/VAL Blanca </t>
  </si>
  <si>
    <t>CANDOR-GN-V</t>
  </si>
  <si>
    <t>ESCORIAL COCINA CANDOR Gas Nat C/VAL Blanca </t>
  </si>
  <si>
    <t>HN-15</t>
  </si>
  <si>
    <t>PROTALIA Estufa Infraroja 1500 W </t>
  </si>
  <si>
    <t>EXCLUSIVE140</t>
  </si>
  <si>
    <t>CANNON Exclusive 1.40x25x1.90 Espuma </t>
  </si>
  <si>
    <t>MS-T301</t>
  </si>
  <si>
    <t>MilSillas Siila Tulum Max Entrelazada Marron </t>
  </si>
  <si>
    <t>EXCLUSIVE080</t>
  </si>
  <si>
    <t>CANNON Exclusive 0.80x25x1.90 Espuma </t>
  </si>
  <si>
    <t>MS-BT02</t>
  </si>
  <si>
    <t>Milsillas Banqueta Tulum Negra </t>
  </si>
  <si>
    <t>BUNIF100</t>
  </si>
  <si>
    <t>CANNON box de sommier 100X190 P/RENOV/DORAL/DPILLOW/PLATINO </t>
  </si>
  <si>
    <t>Gaudenzi, Micaela Ayelen</t>
  </si>
  <si>
    <t>PLATINO100</t>
  </si>
  <si>
    <t>CANNON Platino 1.00x27x1.90 Resortes </t>
  </si>
  <si>
    <t>ALAALU120</t>
  </si>
  <si>
    <t>Practikos Alacena 1.20 Con Bordes </t>
  </si>
  <si>
    <t>HN-13</t>
  </si>
  <si>
    <t>PROTALIA Estufa Infraroja 1300W </t>
  </si>
  <si>
    <t>C40GL100-F</t>
  </si>
  <si>
    <t>SMART TV 40 RCA GOOGLE </t>
  </si>
  <si>
    <t>C65AND-F</t>
  </si>
  <si>
    <t>SMART TV 65 RCA ANDROID </t>
  </si>
  <si>
    <t>EXCLUSIVECP140</t>
  </si>
  <si>
    <t>CANNON Exclusive Con Pillow 1.40x29x1.90 Espuma </t>
  </si>
  <si>
    <t>WW65A4000EE</t>
  </si>
  <si>
    <t>SAMSUNG Lavarropas C/F 6.5Kg 1000 RPM Blanco Inverter </t>
  </si>
  <si>
    <t>CWSU150</t>
  </si>
  <si>
    <t>SECARROPAS WANKE PRE-PLUS CON TIMER </t>
  </si>
  <si>
    <t>EL.LWBE105TEN</t>
  </si>
  <si>
    <t>LAVARROPAS SEMI AUT WANKE 10.5KG </t>
  </si>
  <si>
    <t>G55P7UHD-F</t>
  </si>
  <si>
    <t>SMART TV RCA 55 GOOGLE 4K </t>
  </si>
  <si>
    <t>SL-WMU061000W</t>
  </si>
  <si>
    <t>SMARTLIFE Lavarropas 6Kg 1000RPM </t>
  </si>
  <si>
    <t>PRINCES100X20</t>
  </si>
  <si>
    <t>CANNON Princes 1.00x20x1.90 Espuma </t>
  </si>
  <si>
    <t>PRINCES100X23</t>
  </si>
  <si>
    <t>CANNON Princes 1.00x23x1.90 Espuma </t>
  </si>
  <si>
    <t>LWBE105T3</t>
  </si>
  <si>
    <t>LAV SEMIAUT WANKE 10KG CONFORT </t>
  </si>
  <si>
    <t>BD-42E</t>
  </si>
  <si>
    <t>HORNO BUDDY 42E </t>
  </si>
  <si>
    <t>ACP070X40</t>
  </si>
  <si>
    <t>CANNON Almohada Cannon Platino 070x040 </t>
  </si>
  <si>
    <t>57077</t>
  </si>
  <si>
    <t>MOSCONI PLacard 24 Pack Chocolate </t>
  </si>
  <si>
    <t>SL-EK1714W</t>
  </si>
  <si>
    <t>SMARTLIFE Pava Electrica SL-EK1714W 1.7L Blanca </t>
  </si>
  <si>
    <t>C1111</t>
  </si>
  <si>
    <t>MAGICLICK Caloventor C1111 </t>
  </si>
  <si>
    <t>MS-CU02</t>
  </si>
  <si>
    <t>MilSillas Cucha Negra Con Almohadon </t>
  </si>
  <si>
    <t>520000017</t>
  </si>
  <si>
    <t>MALETIN HERRAMIENTAS 262 PIEZAS </t>
  </si>
  <si>
    <t>CON2000NF</t>
  </si>
  <si>
    <t>BORGEN Convector Analogo Negro 2000W </t>
  </si>
  <si>
    <t>SL-YM2305</t>
  </si>
  <si>
    <t>YOGURTERA SL-YM2305 </t>
  </si>
  <si>
    <t>120030</t>
  </si>
  <si>
    <t>ESCORIAL Termotanque a Gas 80 lts </t>
  </si>
  <si>
    <t>120050</t>
  </si>
  <si>
    <t>ESCORIAL Termotanque 120lts </t>
  </si>
  <si>
    <t>Rodriguez, Julian Ezequiel</t>
  </si>
  <si>
    <t>55C655A-B</t>
  </si>
  <si>
    <t>TCL SMART TV TCL QLED 55C655A-B </t>
  </si>
  <si>
    <t>M-STYLE-INOX-MG</t>
  </si>
  <si>
    <t>ESCORIAL Cocina Master Style Inox Multigas </t>
  </si>
  <si>
    <t>SUBLIMECP140</t>
  </si>
  <si>
    <t>CANNON Sublime Con Pilow 1.40x33x1.90 Resortes </t>
  </si>
  <si>
    <t>HTS 5504</t>
  </si>
  <si>
    <t>SECARROPAS COLUMBIA VERDE OLIVA </t>
  </si>
  <si>
    <t>SASMA165MZKAAR</t>
  </si>
  <si>
    <t>CEL SAMSUNG A16 128GB BLACK </t>
  </si>
  <si>
    <t>T517J-FCLCAR11</t>
  </si>
  <si>
    <t>CELULAR TCL 605 128GB PURE WHITE </t>
  </si>
  <si>
    <t>MERITCP140</t>
  </si>
  <si>
    <t>SUAVEGOM Colchon Merit con Pilow 140x29x190 </t>
  </si>
  <si>
    <t>SASMA065MZKEAR</t>
  </si>
  <si>
    <t>CEL SAMSUNG A06 128GB BLACK </t>
  </si>
  <si>
    <t>IN.550.03. EB</t>
  </si>
  <si>
    <t>SILLAS ATLANTICO TAP CASTAÑO ECO BEIGE </t>
  </si>
  <si>
    <t>EXCLUSIVECP100</t>
  </si>
  <si>
    <t>CANNON Exclusive con Pilow 1.00x29x1.90 Espuma </t>
  </si>
  <si>
    <t>TEE-EL55</t>
  </si>
  <si>
    <t>Termotanque Electrico Escorial 55 lts </t>
  </si>
  <si>
    <t>MERIT080</t>
  </si>
  <si>
    <t>SUAVEGOM Colchon Merit 080x190x24 </t>
  </si>
  <si>
    <t>57161</t>
  </si>
  <si>
    <t>PLACARD 26 PACK-BAMBU </t>
  </si>
  <si>
    <t>C-755</t>
  </si>
  <si>
    <t>KOH-I-NOOR Secarropas 5.5 KG VISION C-755 </t>
  </si>
  <si>
    <t>CON2000DBF</t>
  </si>
  <si>
    <t>BORGEN Convector Digital Blanco 2000W </t>
  </si>
  <si>
    <t>57182</t>
  </si>
  <si>
    <t>MOSCONI PLacard 24 Pack GREI </t>
  </si>
  <si>
    <t>10331</t>
  </si>
  <si>
    <t>GARDIAN GLASS Tapa de Vidrio P Mesa 1.60 X 0.80 Gris MOD 225 </t>
  </si>
  <si>
    <t>LRPK56SB</t>
  </si>
  <si>
    <t>PATRICK Lavarropas Redondo 5 Kg </t>
  </si>
  <si>
    <t>COMFORT080</t>
  </si>
  <si>
    <t>SUAVEGOM Colchon Comfort Espuma 80x23x190 </t>
  </si>
  <si>
    <t>CLASICOPLUS080</t>
  </si>
  <si>
    <t>CANNON Clásico Plus 0.80x17X190 Espuma Tela Sabana </t>
  </si>
  <si>
    <t>57157</t>
  </si>
  <si>
    <t>PLACARD 23 PACK BAMBU </t>
  </si>
  <si>
    <t>BPRESTON140</t>
  </si>
  <si>
    <t>SUAVEGOM Box de Somier Preston Resortes 140x190 </t>
  </si>
  <si>
    <t>BPRESTON080</t>
  </si>
  <si>
    <t>SUAVEGOM Box Preston 080x190 </t>
  </si>
  <si>
    <t>CLASICO080</t>
  </si>
  <si>
    <t>CANNON Clásico 0.80x17X190 Espuma Tela Friselina </t>
  </si>
  <si>
    <t>MILLIE SUPER N</t>
  </si>
  <si>
    <t>LUCY Base de caño para mesa Millie Súper Negra </t>
  </si>
  <si>
    <t>MS-M101</t>
  </si>
  <si>
    <t>MilSillas Silla Malaga Marron </t>
  </si>
  <si>
    <t>ACEX070</t>
  </si>
  <si>
    <t>CANNON 0.70*0.40 Exclusive </t>
  </si>
  <si>
    <t>57142</t>
  </si>
  <si>
    <t>CHIFONIER PACK 5-CHOCOLATE </t>
  </si>
  <si>
    <t>520000019</t>
  </si>
  <si>
    <t>TERMO PELOTA </t>
  </si>
  <si>
    <t>TL750-9</t>
  </si>
  <si>
    <t>TERMO BLANCO 750 LUSQTOFF </t>
  </si>
  <si>
    <t>sillon bajo </t>
  </si>
  <si>
    <t>520000020</t>
  </si>
  <si>
    <t>SET DE MATE STANLEY </t>
  </si>
  <si>
    <t>MS-MRAR02</t>
  </si>
  <si>
    <t>MilSillas Mesa Ratona Arena Negro Con vidrio </t>
  </si>
  <si>
    <t>MS-GER401</t>
  </si>
  <si>
    <t>MilSilas Sillon Gervasoni niños marron </t>
  </si>
  <si>
    <t>MS-T03</t>
  </si>
  <si>
    <t>MilSillas Silla Tulum Blanca </t>
  </si>
  <si>
    <t>Almohadon Gervasoni Niños </t>
  </si>
  <si>
    <t>cuotas choferes linea 527 </t>
  </si>
  <si>
    <t>N-655</t>
  </si>
  <si>
    <t>KOH-I-NOOR Secarropas 5.5 KG N-655 NEGRO </t>
  </si>
  <si>
    <t>BSUAVEGOM080</t>
  </si>
  <si>
    <t>SUAVEGOM Box de Somier Suavegom Gris 080X1.90 </t>
  </si>
  <si>
    <t>MS-T103</t>
  </si>
  <si>
    <t>MilSillas Siila Tulum Max Blanca </t>
  </si>
  <si>
    <t>56503</t>
  </si>
  <si>
    <t>MOSCONI Chifonier Dakar Color Tabaco </t>
  </si>
  <si>
    <t>MARCA</t>
  </si>
  <si>
    <t>CANNON</t>
  </si>
  <si>
    <t>PROTALIA</t>
  </si>
  <si>
    <t>TCL</t>
  </si>
  <si>
    <t>ESCORIAL</t>
  </si>
  <si>
    <t>SAMSUNG</t>
  </si>
  <si>
    <t>SMARTLIFE</t>
  </si>
  <si>
    <t>SUAVEGOM</t>
  </si>
  <si>
    <t>BORGEN</t>
  </si>
  <si>
    <t>PRACTIKOS</t>
  </si>
  <si>
    <t>RCA</t>
  </si>
  <si>
    <t>MOSCONI</t>
  </si>
  <si>
    <t>BUDDY</t>
  </si>
  <si>
    <t>MILSILLAS</t>
  </si>
  <si>
    <t>KOH-I-NOOR</t>
  </si>
  <si>
    <t>NAMASTE</t>
  </si>
  <si>
    <t>GARDIAN GLASS</t>
  </si>
  <si>
    <t>WANKE</t>
  </si>
  <si>
    <t>GENERICO</t>
  </si>
  <si>
    <t>L</t>
  </si>
  <si>
    <t>LUCY</t>
  </si>
  <si>
    <t>COLUMBIA</t>
  </si>
  <si>
    <t>ADM</t>
  </si>
  <si>
    <t>PATRICK</t>
  </si>
  <si>
    <t>LUSQTOFF</t>
  </si>
  <si>
    <t>MAGICLICK</t>
  </si>
  <si>
    <t>FACTURACION TOTAL</t>
  </si>
  <si>
    <t>UNIDADES VENDIDAS</t>
  </si>
  <si>
    <t>TK PROMEDIO</t>
  </si>
  <si>
    <t>FACTURAS EMITIDAS</t>
  </si>
  <si>
    <t>MARCAS CON MAS FACTURACION</t>
  </si>
  <si>
    <t>MONTO$</t>
  </si>
  <si>
    <t xml:space="preserve">ARTICULOS MAS VENDIDOS </t>
  </si>
  <si>
    <t>CANTIDAD</t>
  </si>
  <si>
    <t>MARCAS CON MAS VENDIDAS</t>
  </si>
  <si>
    <t>ARTICULOS CON MAYOR FACTUTACION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</si>
</sst>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 &quot;$&quot;\ #,##0.00"/>
    <numFmt numFmtId="166" formatCode="_-[$$-2C0A]\ * #,##0.00_-;\-[$$-2C0A]\ * #,##0.00_-;_-[$$-2C0A]\ 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C8CA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19" fillId="33" borderId="10" xfId="0" applyFont="1" applyFill="1" applyBorder="1" applyAlignment="1">
      <alignment horizontal="left" wrapText="1"/>
    </xf>
    <xf numFmtId="0" fontId="19" fillId="33" borderId="10" xfId="0" applyFont="1" applyFill="1" applyBorder="1" applyAlignment="1">
      <alignment horizontal="right" wrapText="1"/>
    </xf>
    <xf numFmtId="0" fontId="19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left" wrapText="1"/>
    </xf>
    <xf numFmtId="49" fontId="0" fillId="0" borderId="10" xfId="0" applyNumberFormat="1" applyBorder="1" applyAlignment="1">
      <alignment horizontal="left" wrapText="1"/>
    </xf>
    <xf numFmtId="49" fontId="18" fillId="0" borderId="10" xfId="0" applyNumberFormat="1" applyFont="1" applyBorder="1" applyAlignment="1">
      <alignment horizontal="left" wrapText="1"/>
    </xf>
    <xf numFmtId="0" fontId="18" fillId="0" borderId="10" xfId="0" applyFont="1" applyBorder="1" applyAlignment="1">
      <alignment horizontal="right" wrapText="1"/>
    </xf>
    <xf numFmtId="165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center" wrapText="1"/>
    </xf>
    <xf numFmtId="9" fontId="18" fillId="0" borderId="10" xfId="0" applyNumberFormat="1" applyFont="1" applyBorder="1" applyAlignment="1">
      <alignment horizontal="center" wrapText="1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Alignment="1">
      <alignment horizontal="center"/>
    </xf>
    <xf numFmtId="0" fontId="20" fillId="34" borderId="11" xfId="0" applyFont="1" applyFill="1" applyBorder="1" applyAlignment="1">
      <alignment horizontal="left"/>
    </xf>
    <xf numFmtId="164" fontId="0" fillId="0" borderId="11" xfId="42" applyFont="1" applyBorder="1" applyAlignment="1">
      <alignment horizontal="left"/>
    </xf>
    <xf numFmtId="0" fontId="20" fillId="34" borderId="12" xfId="0" applyFont="1" applyFill="1" applyBorder="1" applyAlignment="1">
      <alignment horizontal="left"/>
    </xf>
    <xf numFmtId="164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right"/>
    </xf>
    <xf numFmtId="0" fontId="21" fillId="34" borderId="11" xfId="0" applyFont="1" applyFill="1" applyBorder="1" applyAlignment="1">
      <alignment horizontal="center"/>
    </xf>
    <xf numFmtId="166" fontId="22" fillId="0" borderId="11" xfId="42" applyNumberFormat="1" applyFont="1" applyBorder="1" applyAlignment="1">
      <alignment horizontal="left"/>
    </xf>
    <xf numFmtId="0" fontId="22" fillId="0" borderId="11" xfId="0" applyFont="1" applyBorder="1" applyAlignment="1">
      <alignment horizontal="center"/>
    </xf>
    <xf numFmtId="164" fontId="22" fillId="0" borderId="11" xfId="0" applyNumberFormat="1" applyFont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J2" sqref="J2"/>
    </sheetView>
  </sheetViews>
  <sheetFormatPr baseColWidth="10" defaultColWidth="10.77734375" defaultRowHeight="14.4" x14ac:dyDescent="0.3"/>
  <cols>
    <col min="1" max="1" width="47.88671875" customWidth="1"/>
    <col min="2" max="2" width="17.44140625" customWidth="1"/>
    <col min="3" max="3" width="2.77734375" customWidth="1"/>
    <col min="4" max="4" width="34" customWidth="1"/>
    <col min="5" max="5" width="17.109375" customWidth="1"/>
    <col min="6" max="6" width="3.33203125" customWidth="1"/>
    <col min="7" max="7" width="30.77734375" style="14" customWidth="1"/>
    <col min="8" max="8" width="16.109375" customWidth="1"/>
    <col min="9" max="9" width="2.77734375" customWidth="1"/>
    <col min="10" max="10" width="25.5546875" customWidth="1"/>
  </cols>
  <sheetData>
    <row r="1" spans="1:5" ht="15.6" thickTop="1" thickBot="1" x14ac:dyDescent="0.35">
      <c r="A1" s="15" t="s">
        <v>193</v>
      </c>
      <c r="B1" s="17" t="s">
        <v>189</v>
      </c>
      <c r="C1" s="12"/>
      <c r="D1" s="15" t="s">
        <v>188</v>
      </c>
      <c r="E1" s="17" t="s">
        <v>189</v>
      </c>
    </row>
    <row r="2" spans="1:5" ht="15.6" thickTop="1" thickBot="1" x14ac:dyDescent="0.35">
      <c r="A2" s="13" t="s">
        <v>37</v>
      </c>
      <c r="B2" s="16">
        <v>1974141.69</v>
      </c>
      <c r="C2" s="12"/>
      <c r="D2" s="13" t="s">
        <v>168</v>
      </c>
      <c r="E2" s="18">
        <v>4846090</v>
      </c>
    </row>
    <row r="3" spans="1:5" ht="15.6" thickTop="1" thickBot="1" x14ac:dyDescent="0.35">
      <c r="A3" s="13" t="s">
        <v>47</v>
      </c>
      <c r="B3" s="16">
        <v>1828596.77</v>
      </c>
      <c r="C3" s="12"/>
      <c r="D3" s="13" t="s">
        <v>159</v>
      </c>
      <c r="E3" s="18">
        <v>4205000.3535000002</v>
      </c>
    </row>
    <row r="4" spans="1:5" ht="15.6" thickTop="1" thickBot="1" x14ac:dyDescent="0.35">
      <c r="A4" s="13" t="s">
        <v>41</v>
      </c>
      <c r="B4" s="16">
        <v>1730396</v>
      </c>
      <c r="C4" s="12"/>
      <c r="D4" s="13" t="s">
        <v>162</v>
      </c>
      <c r="E4" s="18">
        <v>3200221.82</v>
      </c>
    </row>
    <row r="5" spans="1:5" ht="15.6" thickTop="1" thickBot="1" x14ac:dyDescent="0.35">
      <c r="A5" s="13" t="s">
        <v>80</v>
      </c>
      <c r="B5" s="16">
        <v>1315040.6100000001</v>
      </c>
      <c r="C5" s="12"/>
      <c r="D5" s="13" t="s">
        <v>161</v>
      </c>
      <c r="E5" s="18">
        <v>1709943.33</v>
      </c>
    </row>
    <row r="6" spans="1:5" ht="15.6" thickTop="1" thickBot="1" x14ac:dyDescent="0.35">
      <c r="A6" s="13" t="s">
        <v>75</v>
      </c>
      <c r="B6" s="16">
        <v>1229441.1599999999</v>
      </c>
      <c r="C6" s="12"/>
      <c r="D6" s="13" t="s">
        <v>163</v>
      </c>
      <c r="E6" s="18">
        <v>1645196.67</v>
      </c>
    </row>
    <row r="7" spans="1:5" ht="15" thickTop="1" x14ac:dyDescent="0.3">
      <c r="A7" s="12"/>
      <c r="B7" s="12"/>
      <c r="C7" s="12"/>
      <c r="D7" s="12"/>
      <c r="E7" s="12"/>
    </row>
    <row r="8" spans="1:5" ht="15" thickBot="1" x14ac:dyDescent="0.35">
      <c r="A8" s="12"/>
      <c r="B8" s="12"/>
      <c r="C8" s="12"/>
      <c r="D8" s="12"/>
      <c r="E8" s="12"/>
    </row>
    <row r="9" spans="1:5" ht="15.6" thickTop="1" thickBot="1" x14ac:dyDescent="0.35">
      <c r="A9" s="15" t="s">
        <v>190</v>
      </c>
      <c r="B9" s="17" t="s">
        <v>191</v>
      </c>
      <c r="C9" s="12"/>
      <c r="D9" s="15" t="s">
        <v>192</v>
      </c>
      <c r="E9" s="17" t="s">
        <v>191</v>
      </c>
    </row>
    <row r="10" spans="1:5" ht="15.6" thickTop="1" thickBot="1" x14ac:dyDescent="0.35">
      <c r="A10" s="13" t="s">
        <v>20</v>
      </c>
      <c r="B10" s="19">
        <v>12</v>
      </c>
      <c r="C10" s="12"/>
      <c r="D10" s="13" t="s">
        <v>171</v>
      </c>
      <c r="E10" s="19">
        <v>25</v>
      </c>
    </row>
    <row r="11" spans="1:5" ht="15.6" thickTop="1" thickBot="1" x14ac:dyDescent="0.35">
      <c r="A11" s="13" t="s">
        <v>59</v>
      </c>
      <c r="B11" s="19">
        <v>7</v>
      </c>
      <c r="C11" s="12"/>
      <c r="D11" s="13" t="s">
        <v>159</v>
      </c>
      <c r="E11" s="19">
        <v>24</v>
      </c>
    </row>
    <row r="12" spans="1:5" ht="15.6" thickTop="1" thickBot="1" x14ac:dyDescent="0.35">
      <c r="A12" s="13" t="s">
        <v>16</v>
      </c>
      <c r="B12" s="19">
        <v>5</v>
      </c>
      <c r="C12" s="12"/>
      <c r="D12" s="13" t="s">
        <v>162</v>
      </c>
      <c r="E12" s="19">
        <v>11</v>
      </c>
    </row>
    <row r="13" spans="1:5" ht="15.6" thickTop="1" thickBot="1" x14ac:dyDescent="0.35">
      <c r="A13" s="13" t="s">
        <v>57</v>
      </c>
      <c r="B13" s="19">
        <v>5</v>
      </c>
      <c r="C13" s="12"/>
      <c r="D13" s="13" t="s">
        <v>165</v>
      </c>
      <c r="E13" s="19">
        <v>9</v>
      </c>
    </row>
    <row r="14" spans="1:5" ht="15.6" thickTop="1" thickBot="1" x14ac:dyDescent="0.35">
      <c r="A14" s="13" t="s">
        <v>75</v>
      </c>
      <c r="B14" s="19">
        <v>5</v>
      </c>
      <c r="C14" s="12"/>
      <c r="D14" s="13" t="s">
        <v>168</v>
      </c>
      <c r="E14" s="19">
        <v>8</v>
      </c>
    </row>
    <row r="15" spans="1:5" ht="15" thickTop="1" x14ac:dyDescent="0.3"/>
    <row r="16" spans="1:5" ht="15" thickBot="1" x14ac:dyDescent="0.35"/>
    <row r="17" spans="1:10" ht="19.5" customHeight="1" thickTop="1" thickBot="1" x14ac:dyDescent="0.45">
      <c r="A17" s="20" t="s">
        <v>184</v>
      </c>
      <c r="D17" s="20" t="s">
        <v>185</v>
      </c>
      <c r="G17" s="20" t="s">
        <v>187</v>
      </c>
      <c r="J17" s="20" t="s">
        <v>186</v>
      </c>
    </row>
    <row r="18" spans="1:10" ht="21" customHeight="1" thickTop="1" thickBot="1" x14ac:dyDescent="0.4">
      <c r="A18" s="21">
        <f>SUM('VENTAS MAYO'!K2:K76)</f>
        <v>22258804.819000002</v>
      </c>
      <c r="D18" s="22">
        <f>SUM('VENTAS MAYO'!F2:F76)</f>
        <v>138</v>
      </c>
      <c r="G18" s="22">
        <f>SUM('VENTAS MAYO'!E2:E75)</f>
        <v>114</v>
      </c>
      <c r="J18" s="23">
        <f>METRICAS!A18/METRICAS!G18</f>
        <v>195252.67385087721</v>
      </c>
    </row>
    <row r="19" spans="1:10" ht="15" thickTop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8"/>
  <sheetViews>
    <sheetView showGridLines="0" workbookViewId="0">
      <selection activeCell="B78" sqref="B78"/>
    </sheetView>
  </sheetViews>
  <sheetFormatPr baseColWidth="10" defaultColWidth="10.77734375" defaultRowHeight="14.4" x14ac:dyDescent="0.3"/>
  <cols>
    <col min="1" max="1" width="21.6640625" customWidth="1"/>
    <col min="2" max="2" width="28.5546875" customWidth="1"/>
    <col min="3" max="3" width="13.21875" customWidth="1"/>
    <col min="4" max="4" width="42.88671875" customWidth="1"/>
    <col min="5" max="6" width="12.88671875" customWidth="1"/>
    <col min="7" max="7" width="21.33203125" customWidth="1"/>
    <col min="8" max="8" width="16.44140625" customWidth="1"/>
    <col min="9" max="9" width="16.77734375" customWidth="1"/>
    <col min="10" max="10" width="25.6640625" customWidth="1"/>
    <col min="11" max="11" width="14.21875" customWidth="1"/>
    <col min="12" max="12" width="9.33203125" customWidth="1"/>
  </cols>
  <sheetData>
    <row r="1" spans="1:12" ht="18.75" customHeight="1" x14ac:dyDescent="0.3">
      <c r="A1" s="1" t="s">
        <v>0</v>
      </c>
      <c r="B1" s="1" t="s">
        <v>1</v>
      </c>
      <c r="C1" s="1" t="s">
        <v>158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</row>
    <row r="2" spans="1:12" ht="16.5" customHeight="1" x14ac:dyDescent="0.3">
      <c r="A2" s="4" t="s">
        <v>78</v>
      </c>
      <c r="B2" s="6" t="s">
        <v>36</v>
      </c>
      <c r="C2" s="6" t="s">
        <v>168</v>
      </c>
      <c r="D2" s="4" t="s">
        <v>37</v>
      </c>
      <c r="E2" s="7">
        <v>2</v>
      </c>
      <c r="F2" s="7">
        <v>2</v>
      </c>
      <c r="G2" s="8">
        <v>1974141.69</v>
      </c>
      <c r="H2" s="7">
        <v>0</v>
      </c>
      <c r="I2" s="7">
        <v>0</v>
      </c>
      <c r="J2" s="8">
        <v>0</v>
      </c>
      <c r="K2" s="8">
        <v>1974141.69</v>
      </c>
      <c r="L2" s="9">
        <v>8.3000000000000001E-3</v>
      </c>
    </row>
    <row r="3" spans="1:12" ht="16.5" customHeight="1" x14ac:dyDescent="0.3">
      <c r="A3" s="4" t="s">
        <v>78</v>
      </c>
      <c r="B3" s="6" t="s">
        <v>46</v>
      </c>
      <c r="C3" s="6" t="s">
        <v>168</v>
      </c>
      <c r="D3" s="4" t="s">
        <v>47</v>
      </c>
      <c r="E3" s="7">
        <v>3</v>
      </c>
      <c r="F3" s="7">
        <v>3</v>
      </c>
      <c r="G3" s="8">
        <v>1828596.77</v>
      </c>
      <c r="H3" s="7">
        <v>0</v>
      </c>
      <c r="I3" s="7">
        <v>0</v>
      </c>
      <c r="J3" s="8">
        <v>0</v>
      </c>
      <c r="K3" s="8">
        <v>1828596.77</v>
      </c>
      <c r="L3" s="9">
        <v>7.6E-3</v>
      </c>
    </row>
    <row r="4" spans="1:12" ht="16.5" customHeight="1" x14ac:dyDescent="0.3">
      <c r="A4" s="4" t="s">
        <v>78</v>
      </c>
      <c r="B4" s="6" t="s">
        <v>79</v>
      </c>
      <c r="C4" s="6" t="s">
        <v>161</v>
      </c>
      <c r="D4" s="4" t="s">
        <v>80</v>
      </c>
      <c r="E4" s="7">
        <v>2</v>
      </c>
      <c r="F4" s="7">
        <v>2</v>
      </c>
      <c r="G4" s="8">
        <v>1315040.6100000001</v>
      </c>
      <c r="H4" s="7">
        <v>0</v>
      </c>
      <c r="I4" s="7">
        <v>0</v>
      </c>
      <c r="J4" s="8">
        <v>0</v>
      </c>
      <c r="K4" s="8">
        <v>1315040.6100000001</v>
      </c>
      <c r="L4" s="9">
        <v>5.4999999999999997E-3</v>
      </c>
    </row>
    <row r="5" spans="1:12" ht="16.5" customHeight="1" x14ac:dyDescent="0.3">
      <c r="A5" s="4" t="s">
        <v>78</v>
      </c>
      <c r="B5" s="6" t="s">
        <v>81</v>
      </c>
      <c r="C5" s="6" t="s">
        <v>162</v>
      </c>
      <c r="D5" s="4" t="s">
        <v>82</v>
      </c>
      <c r="E5" s="7">
        <v>2</v>
      </c>
      <c r="F5" s="7">
        <v>2</v>
      </c>
      <c r="G5" s="8">
        <v>1124523.18</v>
      </c>
      <c r="H5" s="7">
        <v>0</v>
      </c>
      <c r="I5" s="7">
        <v>0</v>
      </c>
      <c r="J5" s="8">
        <v>0</v>
      </c>
      <c r="K5" s="8">
        <v>1124523.18</v>
      </c>
      <c r="L5" s="9">
        <v>4.7000000000000002E-3</v>
      </c>
    </row>
    <row r="6" spans="1:12" ht="16.5" customHeight="1" x14ac:dyDescent="0.3">
      <c r="A6" s="4" t="s">
        <v>78</v>
      </c>
      <c r="B6" s="6" t="s">
        <v>34</v>
      </c>
      <c r="C6" s="6" t="s">
        <v>168</v>
      </c>
      <c r="D6" s="4" t="s">
        <v>35</v>
      </c>
      <c r="E6" s="7">
        <v>3</v>
      </c>
      <c r="F6" s="7">
        <v>3</v>
      </c>
      <c r="G6" s="8">
        <v>1043351.54</v>
      </c>
      <c r="H6" s="7">
        <v>0</v>
      </c>
      <c r="I6" s="7">
        <v>0</v>
      </c>
      <c r="J6" s="8">
        <v>0</v>
      </c>
      <c r="K6" s="8">
        <v>1043351.54</v>
      </c>
      <c r="L6" s="9">
        <v>4.4000000000000003E-3</v>
      </c>
    </row>
    <row r="7" spans="1:12" ht="16.5" customHeight="1" x14ac:dyDescent="0.3">
      <c r="A7" s="4" t="s">
        <v>78</v>
      </c>
      <c r="B7" s="6" t="s">
        <v>74</v>
      </c>
      <c r="C7" s="6" t="s">
        <v>162</v>
      </c>
      <c r="D7" s="4" t="s">
        <v>75</v>
      </c>
      <c r="E7" s="7">
        <v>5</v>
      </c>
      <c r="F7" s="7">
        <v>5</v>
      </c>
      <c r="G7" s="8">
        <v>1229441.1599999999</v>
      </c>
      <c r="H7" s="7">
        <v>1</v>
      </c>
      <c r="I7" s="7">
        <v>1</v>
      </c>
      <c r="J7" s="8">
        <v>261979.51999999999</v>
      </c>
      <c r="K7" s="8">
        <v>967461.64</v>
      </c>
      <c r="L7" s="9">
        <v>4.0000000000000001E-3</v>
      </c>
    </row>
    <row r="8" spans="1:12" ht="16.5" customHeight="1" x14ac:dyDescent="0.3">
      <c r="A8" s="4" t="s">
        <v>78</v>
      </c>
      <c r="B8" s="6" t="s">
        <v>40</v>
      </c>
      <c r="C8" s="6" t="s">
        <v>163</v>
      </c>
      <c r="D8" s="4" t="s">
        <v>41</v>
      </c>
      <c r="E8" s="7">
        <v>2</v>
      </c>
      <c r="F8" s="7">
        <v>2</v>
      </c>
      <c r="G8" s="8">
        <v>1730396</v>
      </c>
      <c r="H8" s="7">
        <v>1</v>
      </c>
      <c r="I8" s="7">
        <v>1</v>
      </c>
      <c r="J8" s="8">
        <v>865198</v>
      </c>
      <c r="K8" s="8">
        <v>865198</v>
      </c>
      <c r="L8" s="9">
        <v>3.5999999999999999E-3</v>
      </c>
    </row>
    <row r="9" spans="1:12" ht="16.5" customHeight="1" x14ac:dyDescent="0.3">
      <c r="A9" s="4" t="s">
        <v>78</v>
      </c>
      <c r="B9" s="6" t="s">
        <v>83</v>
      </c>
      <c r="C9" s="6" t="s">
        <v>159</v>
      </c>
      <c r="D9" s="4" t="s">
        <v>84</v>
      </c>
      <c r="E9" s="7">
        <v>1</v>
      </c>
      <c r="F9" s="7">
        <v>1</v>
      </c>
      <c r="G9" s="8">
        <v>834617.11</v>
      </c>
      <c r="H9" s="7">
        <v>0</v>
      </c>
      <c r="I9" s="7">
        <v>0</v>
      </c>
      <c r="J9" s="8">
        <v>0</v>
      </c>
      <c r="K9" s="8">
        <v>834617.11</v>
      </c>
      <c r="L9" s="9">
        <v>3.5000000000000001E-3</v>
      </c>
    </row>
    <row r="10" spans="1:12" ht="16.5" customHeight="1" x14ac:dyDescent="0.3">
      <c r="A10" s="4" t="s">
        <v>78</v>
      </c>
      <c r="B10" s="6" t="s">
        <v>17</v>
      </c>
      <c r="C10" s="6" t="s">
        <v>159</v>
      </c>
      <c r="D10" s="4" t="s">
        <v>18</v>
      </c>
      <c r="E10" s="7">
        <v>2</v>
      </c>
      <c r="F10" s="7">
        <v>2</v>
      </c>
      <c r="G10" s="8">
        <v>740249.03</v>
      </c>
      <c r="H10" s="7">
        <v>0</v>
      </c>
      <c r="I10" s="7">
        <v>0</v>
      </c>
      <c r="J10" s="8">
        <v>0</v>
      </c>
      <c r="K10" s="8">
        <v>740249.03</v>
      </c>
      <c r="L10" s="9">
        <v>3.0999999999999999E-3</v>
      </c>
    </row>
    <row r="11" spans="1:12" ht="16.5" customHeight="1" x14ac:dyDescent="0.3">
      <c r="A11" s="4" t="s">
        <v>78</v>
      </c>
      <c r="B11" s="6" t="s">
        <v>19</v>
      </c>
      <c r="C11" s="6" t="s">
        <v>171</v>
      </c>
      <c r="D11" s="4" t="s">
        <v>20</v>
      </c>
      <c r="E11" s="7">
        <v>2</v>
      </c>
      <c r="F11" s="7">
        <v>12</v>
      </c>
      <c r="G11" s="8">
        <v>544543.14049999998</v>
      </c>
      <c r="H11" s="7">
        <v>0</v>
      </c>
      <c r="I11" s="7">
        <v>0</v>
      </c>
      <c r="J11" s="8">
        <v>0</v>
      </c>
      <c r="K11" s="8">
        <v>544543.14049999998</v>
      </c>
      <c r="L11" s="9">
        <v>2.3E-3</v>
      </c>
    </row>
    <row r="12" spans="1:12" ht="16.5" customHeight="1" x14ac:dyDescent="0.3">
      <c r="A12" s="4" t="s">
        <v>78</v>
      </c>
      <c r="B12" s="6" t="s">
        <v>52</v>
      </c>
      <c r="C12" s="6" t="s">
        <v>159</v>
      </c>
      <c r="D12" s="4" t="s">
        <v>53</v>
      </c>
      <c r="E12" s="7">
        <v>2</v>
      </c>
      <c r="F12" s="7">
        <v>2</v>
      </c>
      <c r="G12" s="8">
        <v>535199.18000000005</v>
      </c>
      <c r="H12" s="7">
        <v>0</v>
      </c>
      <c r="I12" s="7">
        <v>0</v>
      </c>
      <c r="J12" s="8">
        <v>0</v>
      </c>
      <c r="K12" s="8">
        <v>535199.18000000005</v>
      </c>
      <c r="L12" s="9">
        <v>2.2000000000000001E-3</v>
      </c>
    </row>
    <row r="13" spans="1:12" ht="16.5" customHeight="1" x14ac:dyDescent="0.3">
      <c r="A13" s="4" t="s">
        <v>78</v>
      </c>
      <c r="B13" s="6" t="s">
        <v>85</v>
      </c>
      <c r="C13" s="6" t="s">
        <v>179</v>
      </c>
      <c r="D13" s="4" t="s">
        <v>86</v>
      </c>
      <c r="E13" s="7">
        <v>3</v>
      </c>
      <c r="F13" s="7">
        <v>3</v>
      </c>
      <c r="G13" s="8">
        <v>525119.43000000005</v>
      </c>
      <c r="H13" s="7">
        <v>0</v>
      </c>
      <c r="I13" s="7">
        <v>0</v>
      </c>
      <c r="J13" s="8">
        <v>0</v>
      </c>
      <c r="K13" s="8">
        <v>525119.43000000005</v>
      </c>
      <c r="L13" s="9">
        <v>2.2000000000000001E-3</v>
      </c>
    </row>
    <row r="14" spans="1:12" ht="16.5" customHeight="1" x14ac:dyDescent="0.3">
      <c r="A14" s="4" t="s">
        <v>78</v>
      </c>
      <c r="B14" s="6" t="s">
        <v>48</v>
      </c>
      <c r="C14" s="6" t="s">
        <v>164</v>
      </c>
      <c r="D14" s="4" t="s">
        <v>49</v>
      </c>
      <c r="E14" s="7">
        <v>1</v>
      </c>
      <c r="F14" s="7">
        <v>1</v>
      </c>
      <c r="G14" s="8">
        <v>521710.86</v>
      </c>
      <c r="H14" s="7">
        <v>0</v>
      </c>
      <c r="I14" s="7">
        <v>0</v>
      </c>
      <c r="J14" s="8">
        <v>0</v>
      </c>
      <c r="K14" s="8">
        <v>521710.86</v>
      </c>
      <c r="L14" s="9">
        <v>2.2000000000000001E-3</v>
      </c>
    </row>
    <row r="15" spans="1:12" ht="16.5" customHeight="1" x14ac:dyDescent="0.3">
      <c r="A15" s="4" t="s">
        <v>78</v>
      </c>
      <c r="B15" s="6" t="s">
        <v>38</v>
      </c>
      <c r="C15" s="6" t="s">
        <v>159</v>
      </c>
      <c r="D15" s="4" t="s">
        <v>39</v>
      </c>
      <c r="E15" s="7">
        <v>1</v>
      </c>
      <c r="F15" s="7">
        <v>1</v>
      </c>
      <c r="G15" s="8">
        <v>510172.96</v>
      </c>
      <c r="H15" s="7">
        <v>0</v>
      </c>
      <c r="I15" s="7">
        <v>0</v>
      </c>
      <c r="J15" s="8">
        <v>0</v>
      </c>
      <c r="K15" s="8">
        <v>510172.96</v>
      </c>
      <c r="L15" s="9">
        <v>2.0999999999999999E-3</v>
      </c>
    </row>
    <row r="16" spans="1:12" ht="16.5" customHeight="1" x14ac:dyDescent="0.3">
      <c r="A16" s="4" t="s">
        <v>78</v>
      </c>
      <c r="B16" s="6" t="s">
        <v>87</v>
      </c>
      <c r="C16" s="6" t="s">
        <v>163</v>
      </c>
      <c r="D16" s="4" t="s">
        <v>88</v>
      </c>
      <c r="E16" s="7">
        <v>1</v>
      </c>
      <c r="F16" s="7">
        <v>1</v>
      </c>
      <c r="G16" s="8">
        <v>452592.03</v>
      </c>
      <c r="H16" s="7">
        <v>0</v>
      </c>
      <c r="I16" s="7">
        <v>0</v>
      </c>
      <c r="J16" s="8">
        <v>0</v>
      </c>
      <c r="K16" s="8">
        <v>452592.03</v>
      </c>
      <c r="L16" s="9">
        <v>1.9E-3</v>
      </c>
    </row>
    <row r="17" spans="1:12" ht="16.5" customHeight="1" x14ac:dyDescent="0.3">
      <c r="A17" s="4" t="s">
        <v>78</v>
      </c>
      <c r="B17" s="6" t="s">
        <v>89</v>
      </c>
      <c r="C17" s="6" t="s">
        <v>161</v>
      </c>
      <c r="D17" s="4" t="s">
        <v>90</v>
      </c>
      <c r="E17" s="7">
        <v>2</v>
      </c>
      <c r="F17" s="7">
        <v>2</v>
      </c>
      <c r="G17" s="8">
        <v>394902.72</v>
      </c>
      <c r="H17" s="7">
        <v>0</v>
      </c>
      <c r="I17" s="7">
        <v>0</v>
      </c>
      <c r="J17" s="8">
        <v>0</v>
      </c>
      <c r="K17" s="8">
        <v>394902.72</v>
      </c>
      <c r="L17" s="9">
        <v>1.6999999999999999E-3</v>
      </c>
    </row>
    <row r="18" spans="1:12" ht="16.5" customHeight="1" x14ac:dyDescent="0.3">
      <c r="A18" s="4" t="s">
        <v>78</v>
      </c>
      <c r="B18" s="6" t="s">
        <v>25</v>
      </c>
      <c r="C18" s="6" t="s">
        <v>159</v>
      </c>
      <c r="D18" s="4" t="s">
        <v>26</v>
      </c>
      <c r="E18" s="7">
        <v>3</v>
      </c>
      <c r="F18" s="7">
        <v>3</v>
      </c>
      <c r="G18" s="8">
        <v>571257.19999999995</v>
      </c>
      <c r="H18" s="7">
        <v>1</v>
      </c>
      <c r="I18" s="7">
        <v>1</v>
      </c>
      <c r="J18" s="8">
        <v>182950</v>
      </c>
      <c r="K18" s="8">
        <v>388307.20000000001</v>
      </c>
      <c r="L18" s="9">
        <v>1.6000000000000001E-3</v>
      </c>
    </row>
    <row r="19" spans="1:12" ht="16.5" customHeight="1" x14ac:dyDescent="0.3">
      <c r="A19" s="4" t="s">
        <v>78</v>
      </c>
      <c r="B19" s="6" t="s">
        <v>91</v>
      </c>
      <c r="C19" s="6" t="s">
        <v>165</v>
      </c>
      <c r="D19" s="4" t="s">
        <v>92</v>
      </c>
      <c r="E19" s="7">
        <v>2</v>
      </c>
      <c r="F19" s="7">
        <v>2</v>
      </c>
      <c r="G19" s="8">
        <v>656306</v>
      </c>
      <c r="H19" s="7">
        <v>1</v>
      </c>
      <c r="I19" s="7">
        <v>1</v>
      </c>
      <c r="J19" s="8">
        <v>328153</v>
      </c>
      <c r="K19" s="8">
        <v>328153</v>
      </c>
      <c r="L19" s="9">
        <v>1.4E-3</v>
      </c>
    </row>
    <row r="20" spans="1:12" ht="16.5" customHeight="1" x14ac:dyDescent="0.3">
      <c r="A20" s="4" t="s">
        <v>78</v>
      </c>
      <c r="B20" s="6" t="s">
        <v>93</v>
      </c>
      <c r="C20" s="6" t="s">
        <v>163</v>
      </c>
      <c r="D20" s="4" t="s">
        <v>94</v>
      </c>
      <c r="E20" s="7">
        <v>1</v>
      </c>
      <c r="F20" s="7">
        <v>1</v>
      </c>
      <c r="G20" s="8">
        <v>327406.64</v>
      </c>
      <c r="H20" s="7">
        <v>0</v>
      </c>
      <c r="I20" s="7">
        <v>0</v>
      </c>
      <c r="J20" s="8">
        <v>0</v>
      </c>
      <c r="K20" s="8">
        <v>327406.64</v>
      </c>
      <c r="L20" s="9">
        <v>1.4E-3</v>
      </c>
    </row>
    <row r="21" spans="1:12" ht="16.5" customHeight="1" x14ac:dyDescent="0.3">
      <c r="A21" s="4" t="s">
        <v>27</v>
      </c>
      <c r="B21" s="6" t="s">
        <v>28</v>
      </c>
      <c r="C21" s="6" t="s">
        <v>159</v>
      </c>
      <c r="D21" s="4" t="s">
        <v>29</v>
      </c>
      <c r="E21" s="7">
        <v>1</v>
      </c>
      <c r="F21" s="7">
        <v>1</v>
      </c>
      <c r="G21" s="8">
        <v>326039.09090000001</v>
      </c>
      <c r="H21" s="7">
        <v>0</v>
      </c>
      <c r="I21" s="7">
        <v>0</v>
      </c>
      <c r="J21" s="8">
        <v>0</v>
      </c>
      <c r="K21" s="8">
        <v>326039.09090000001</v>
      </c>
      <c r="L21" s="9">
        <v>1.4E-3</v>
      </c>
    </row>
    <row r="22" spans="1:12" ht="16.5" customHeight="1" x14ac:dyDescent="0.3">
      <c r="A22" s="4" t="s">
        <v>78</v>
      </c>
      <c r="B22" s="6" t="s">
        <v>13</v>
      </c>
      <c r="C22" s="6" t="s">
        <v>162</v>
      </c>
      <c r="D22" s="4" t="s">
        <v>14</v>
      </c>
      <c r="E22" s="7">
        <v>1</v>
      </c>
      <c r="F22" s="7">
        <v>1</v>
      </c>
      <c r="G22" s="8">
        <v>312645.84999999998</v>
      </c>
      <c r="H22" s="7">
        <v>0</v>
      </c>
      <c r="I22" s="7">
        <v>0</v>
      </c>
      <c r="J22" s="8">
        <v>0</v>
      </c>
      <c r="K22" s="8">
        <v>312645.84999999998</v>
      </c>
      <c r="L22" s="9">
        <v>1.2999999999999999E-3</v>
      </c>
    </row>
    <row r="23" spans="1:12" ht="16.5" customHeight="1" x14ac:dyDescent="0.3">
      <c r="A23" s="4" t="s">
        <v>78</v>
      </c>
      <c r="B23" s="6" t="s">
        <v>95</v>
      </c>
      <c r="C23" s="6" t="s">
        <v>180</v>
      </c>
      <c r="D23" s="4" t="s">
        <v>96</v>
      </c>
      <c r="E23" s="7">
        <v>1</v>
      </c>
      <c r="F23" s="7">
        <v>4</v>
      </c>
      <c r="G23" s="8">
        <v>307020.56</v>
      </c>
      <c r="H23" s="7">
        <v>0</v>
      </c>
      <c r="I23" s="7">
        <v>0</v>
      </c>
      <c r="J23" s="8">
        <v>0</v>
      </c>
      <c r="K23" s="8">
        <v>307020.56</v>
      </c>
      <c r="L23" s="9">
        <v>1.2999999999999999E-3</v>
      </c>
    </row>
    <row r="24" spans="1:12" ht="16.5" customHeight="1" x14ac:dyDescent="0.3">
      <c r="A24" s="4" t="s">
        <v>78</v>
      </c>
      <c r="B24" s="6" t="s">
        <v>56</v>
      </c>
      <c r="C24" s="6" t="s">
        <v>170</v>
      </c>
      <c r="D24" s="4" t="s">
        <v>57</v>
      </c>
      <c r="E24" s="7">
        <v>5</v>
      </c>
      <c r="F24" s="7">
        <v>5</v>
      </c>
      <c r="G24" s="8">
        <v>474163.01409999997</v>
      </c>
      <c r="H24" s="7">
        <v>2</v>
      </c>
      <c r="I24" s="7">
        <v>2</v>
      </c>
      <c r="J24" s="8">
        <v>186000</v>
      </c>
      <c r="K24" s="8">
        <v>288163.01409999997</v>
      </c>
      <c r="L24" s="9">
        <v>1.1999999999999999E-3</v>
      </c>
    </row>
    <row r="25" spans="1:12" ht="16.5" customHeight="1" x14ac:dyDescent="0.3">
      <c r="A25" s="4" t="s">
        <v>78</v>
      </c>
      <c r="B25" s="6" t="s">
        <v>76</v>
      </c>
      <c r="C25" s="6" t="s">
        <v>162</v>
      </c>
      <c r="D25" s="4" t="s">
        <v>77</v>
      </c>
      <c r="E25" s="7">
        <v>1</v>
      </c>
      <c r="F25" s="7">
        <v>1</v>
      </c>
      <c r="G25" s="8">
        <v>288043.98</v>
      </c>
      <c r="H25" s="7">
        <v>0</v>
      </c>
      <c r="I25" s="7">
        <v>0</v>
      </c>
      <c r="J25" s="8">
        <v>0</v>
      </c>
      <c r="K25" s="8">
        <v>288043.98</v>
      </c>
      <c r="L25" s="9">
        <v>1.1999999999999999E-3</v>
      </c>
    </row>
    <row r="26" spans="1:12" ht="16.5" customHeight="1" x14ac:dyDescent="0.3">
      <c r="A26" s="4" t="s">
        <v>78</v>
      </c>
      <c r="B26" s="6" t="s">
        <v>97</v>
      </c>
      <c r="C26" s="6" t="s">
        <v>159</v>
      </c>
      <c r="D26" s="4" t="s">
        <v>98</v>
      </c>
      <c r="E26" s="7">
        <v>1</v>
      </c>
      <c r="F26" s="7">
        <v>1</v>
      </c>
      <c r="G26" s="8">
        <v>286737.65000000002</v>
      </c>
      <c r="H26" s="7">
        <v>0</v>
      </c>
      <c r="I26" s="7">
        <v>0</v>
      </c>
      <c r="J26" s="8">
        <v>0</v>
      </c>
      <c r="K26" s="8">
        <v>286737.65000000002</v>
      </c>
      <c r="L26" s="9">
        <v>1.1999999999999999E-3</v>
      </c>
    </row>
    <row r="27" spans="1:12" ht="16.5" customHeight="1" x14ac:dyDescent="0.3">
      <c r="A27" s="4" t="s">
        <v>78</v>
      </c>
      <c r="B27" s="6" t="s">
        <v>70</v>
      </c>
      <c r="C27" s="6" t="s">
        <v>166</v>
      </c>
      <c r="D27" s="4" t="s">
        <v>71</v>
      </c>
      <c r="E27" s="7">
        <v>2</v>
      </c>
      <c r="F27" s="7">
        <v>2</v>
      </c>
      <c r="G27" s="8">
        <v>284515.14</v>
      </c>
      <c r="H27" s="7">
        <v>0</v>
      </c>
      <c r="I27" s="7">
        <v>0</v>
      </c>
      <c r="J27" s="8">
        <v>0</v>
      </c>
      <c r="K27" s="8">
        <v>284515.14</v>
      </c>
      <c r="L27" s="9">
        <v>1.1999999999999999E-3</v>
      </c>
    </row>
    <row r="28" spans="1:12" ht="16.5" customHeight="1" x14ac:dyDescent="0.3">
      <c r="A28" s="4" t="s">
        <v>78</v>
      </c>
      <c r="B28" s="6" t="s">
        <v>11</v>
      </c>
      <c r="C28" s="6" t="s">
        <v>162</v>
      </c>
      <c r="D28" s="4" t="s">
        <v>12</v>
      </c>
      <c r="E28" s="7">
        <v>1</v>
      </c>
      <c r="F28" s="7">
        <v>1</v>
      </c>
      <c r="G28" s="8">
        <v>268721</v>
      </c>
      <c r="H28" s="7">
        <v>0</v>
      </c>
      <c r="I28" s="7">
        <v>0</v>
      </c>
      <c r="J28" s="8">
        <v>0</v>
      </c>
      <c r="K28" s="8">
        <v>268721</v>
      </c>
      <c r="L28" s="9">
        <v>1.1000000000000001E-3</v>
      </c>
    </row>
    <row r="29" spans="1:12" ht="16.5" customHeight="1" x14ac:dyDescent="0.3">
      <c r="A29" s="4" t="s">
        <v>78</v>
      </c>
      <c r="B29" s="6" t="s">
        <v>44</v>
      </c>
      <c r="C29" s="6" t="s">
        <v>175</v>
      </c>
      <c r="D29" s="4" t="s">
        <v>45</v>
      </c>
      <c r="E29" s="7">
        <v>1</v>
      </c>
      <c r="F29" s="7">
        <v>1</v>
      </c>
      <c r="G29" s="8">
        <v>243000</v>
      </c>
      <c r="H29" s="7">
        <v>0</v>
      </c>
      <c r="I29" s="7">
        <v>0</v>
      </c>
      <c r="J29" s="8">
        <v>0</v>
      </c>
      <c r="K29" s="8">
        <v>243000</v>
      </c>
      <c r="L29" s="9">
        <v>1E-3</v>
      </c>
    </row>
    <row r="30" spans="1:12" ht="16.5" customHeight="1" x14ac:dyDescent="0.3">
      <c r="A30" s="4" t="s">
        <v>78</v>
      </c>
      <c r="B30" s="6" t="s">
        <v>99</v>
      </c>
      <c r="C30" s="6" t="s">
        <v>162</v>
      </c>
      <c r="D30" s="4" t="s">
        <v>100</v>
      </c>
      <c r="E30" s="7">
        <v>1</v>
      </c>
      <c r="F30" s="7">
        <v>1</v>
      </c>
      <c r="G30" s="8">
        <v>238826.17</v>
      </c>
      <c r="H30" s="7">
        <v>0</v>
      </c>
      <c r="I30" s="7">
        <v>0</v>
      </c>
      <c r="J30" s="8">
        <v>0</v>
      </c>
      <c r="K30" s="8">
        <v>238826.17</v>
      </c>
      <c r="L30" s="9">
        <v>1E-3</v>
      </c>
    </row>
    <row r="31" spans="1:12" ht="16.5" customHeight="1" x14ac:dyDescent="0.3">
      <c r="A31" s="4" t="s">
        <v>78</v>
      </c>
      <c r="B31" s="6" t="s">
        <v>21</v>
      </c>
      <c r="C31" s="6" t="s">
        <v>159</v>
      </c>
      <c r="D31" s="4" t="s">
        <v>22</v>
      </c>
      <c r="E31" s="7">
        <v>1</v>
      </c>
      <c r="F31" s="7">
        <v>1</v>
      </c>
      <c r="G31" s="8">
        <v>237190.08259999999</v>
      </c>
      <c r="H31" s="7">
        <v>0</v>
      </c>
      <c r="I31" s="7">
        <v>0</v>
      </c>
      <c r="J31" s="8">
        <v>0</v>
      </c>
      <c r="K31" s="8">
        <v>237190.08259999999</v>
      </c>
      <c r="L31" s="9">
        <v>1E-3</v>
      </c>
    </row>
    <row r="32" spans="1:12" ht="16.5" customHeight="1" x14ac:dyDescent="0.3">
      <c r="A32" s="4" t="s">
        <v>78</v>
      </c>
      <c r="B32" s="6" t="s">
        <v>42</v>
      </c>
      <c r="C32" s="6" t="s">
        <v>175</v>
      </c>
      <c r="D32" s="4" t="s">
        <v>43</v>
      </c>
      <c r="E32" s="7">
        <v>1</v>
      </c>
      <c r="F32" s="7">
        <v>1</v>
      </c>
      <c r="G32" s="8">
        <v>227000</v>
      </c>
      <c r="H32" s="7">
        <v>0</v>
      </c>
      <c r="I32" s="7">
        <v>0</v>
      </c>
      <c r="J32" s="8">
        <v>0</v>
      </c>
      <c r="K32" s="8">
        <v>227000</v>
      </c>
      <c r="L32" s="9">
        <v>8.9999999999999998E-4</v>
      </c>
    </row>
    <row r="33" spans="1:12" ht="16.5" customHeight="1" x14ac:dyDescent="0.3">
      <c r="A33" s="4" t="s">
        <v>78</v>
      </c>
      <c r="B33" s="6" t="s">
        <v>68</v>
      </c>
      <c r="C33" s="6" t="s">
        <v>177</v>
      </c>
      <c r="D33" s="4" t="s">
        <v>69</v>
      </c>
      <c r="E33" s="7">
        <v>2</v>
      </c>
      <c r="F33" s="7">
        <v>2</v>
      </c>
      <c r="G33" s="8">
        <v>445280</v>
      </c>
      <c r="H33" s="7">
        <v>1</v>
      </c>
      <c r="I33" s="7">
        <v>1</v>
      </c>
      <c r="J33" s="8">
        <v>222640</v>
      </c>
      <c r="K33" s="8">
        <v>222640</v>
      </c>
      <c r="L33" s="9">
        <v>8.9999999999999998E-4</v>
      </c>
    </row>
    <row r="34" spans="1:12" ht="16.5" customHeight="1" x14ac:dyDescent="0.3">
      <c r="A34" s="4" t="s">
        <v>78</v>
      </c>
      <c r="B34" s="6" t="s">
        <v>101</v>
      </c>
      <c r="C34" s="6" t="s">
        <v>165</v>
      </c>
      <c r="D34" s="4" t="s">
        <v>102</v>
      </c>
      <c r="E34" s="7">
        <v>1</v>
      </c>
      <c r="F34" s="7">
        <v>1</v>
      </c>
      <c r="G34" s="8">
        <v>220000</v>
      </c>
      <c r="H34" s="7">
        <v>0</v>
      </c>
      <c r="I34" s="7">
        <v>0</v>
      </c>
      <c r="J34" s="8">
        <v>0</v>
      </c>
      <c r="K34" s="8">
        <v>220000</v>
      </c>
      <c r="L34" s="9">
        <v>8.9999999999999998E-4</v>
      </c>
    </row>
    <row r="35" spans="1:12" ht="16.5" customHeight="1" x14ac:dyDescent="0.3">
      <c r="A35" s="4" t="s">
        <v>78</v>
      </c>
      <c r="B35" s="6" t="s">
        <v>54</v>
      </c>
      <c r="C35" s="6" t="s">
        <v>175</v>
      </c>
      <c r="D35" s="4" t="s">
        <v>55</v>
      </c>
      <c r="E35" s="7">
        <v>1</v>
      </c>
      <c r="F35" s="7">
        <v>1</v>
      </c>
      <c r="G35" s="8">
        <v>211293.68</v>
      </c>
      <c r="H35" s="7">
        <v>0</v>
      </c>
      <c r="I35" s="7">
        <v>0</v>
      </c>
      <c r="J35" s="8">
        <v>0</v>
      </c>
      <c r="K35" s="8">
        <v>211293.68</v>
      </c>
      <c r="L35" s="9">
        <v>8.9999999999999998E-4</v>
      </c>
    </row>
    <row r="36" spans="1:12" ht="16.5" customHeight="1" x14ac:dyDescent="0.3">
      <c r="A36" s="4" t="s">
        <v>78</v>
      </c>
      <c r="B36" s="6" t="s">
        <v>103</v>
      </c>
      <c r="C36" s="6" t="s">
        <v>169</v>
      </c>
      <c r="D36" s="4" t="s">
        <v>104</v>
      </c>
      <c r="E36" s="7">
        <v>1</v>
      </c>
      <c r="F36" s="7">
        <v>1</v>
      </c>
      <c r="G36" s="8">
        <v>205000</v>
      </c>
      <c r="H36" s="7">
        <v>0</v>
      </c>
      <c r="I36" s="7">
        <v>0</v>
      </c>
      <c r="J36" s="8">
        <v>0</v>
      </c>
      <c r="K36" s="8">
        <v>205000</v>
      </c>
      <c r="L36" s="9">
        <v>8.9999999999999998E-4</v>
      </c>
    </row>
    <row r="37" spans="1:12" ht="16.5" customHeight="1" x14ac:dyDescent="0.3">
      <c r="A37" s="4" t="s">
        <v>78</v>
      </c>
      <c r="B37" s="6" t="s">
        <v>105</v>
      </c>
      <c r="C37" s="6" t="s">
        <v>172</v>
      </c>
      <c r="D37" s="4" t="s">
        <v>106</v>
      </c>
      <c r="E37" s="7">
        <v>1</v>
      </c>
      <c r="F37" s="7">
        <v>1</v>
      </c>
      <c r="G37" s="8">
        <v>194704</v>
      </c>
      <c r="H37" s="7">
        <v>0</v>
      </c>
      <c r="I37" s="7">
        <v>0</v>
      </c>
      <c r="J37" s="8">
        <v>0</v>
      </c>
      <c r="K37" s="8">
        <v>194704</v>
      </c>
      <c r="L37" s="9">
        <v>8.0000000000000004E-4</v>
      </c>
    </row>
    <row r="38" spans="1:12" ht="16.5" customHeight="1" x14ac:dyDescent="0.3">
      <c r="A38" s="4" t="s">
        <v>78</v>
      </c>
      <c r="B38" s="6" t="s">
        <v>15</v>
      </c>
      <c r="C38" s="6" t="s">
        <v>160</v>
      </c>
      <c r="D38" s="4" t="s">
        <v>16</v>
      </c>
      <c r="E38" s="7">
        <v>4</v>
      </c>
      <c r="F38" s="7">
        <v>5</v>
      </c>
      <c r="G38" s="8">
        <v>190919.58679999999</v>
      </c>
      <c r="H38" s="7">
        <v>0</v>
      </c>
      <c r="I38" s="7">
        <v>0</v>
      </c>
      <c r="J38" s="8">
        <v>0</v>
      </c>
      <c r="K38" s="8">
        <v>190919.58679999999</v>
      </c>
      <c r="L38" s="9">
        <v>8.0000000000000004E-4</v>
      </c>
    </row>
    <row r="39" spans="1:12" ht="16.5" customHeight="1" x14ac:dyDescent="0.3">
      <c r="A39" s="4" t="s">
        <v>78</v>
      </c>
      <c r="B39" s="6" t="s">
        <v>107</v>
      </c>
      <c r="C39" s="6" t="s">
        <v>166</v>
      </c>
      <c r="D39" s="4" t="s">
        <v>108</v>
      </c>
      <c r="E39" s="7">
        <v>1</v>
      </c>
      <c r="F39" s="7">
        <v>1</v>
      </c>
      <c r="G39" s="8">
        <v>170790.29</v>
      </c>
      <c r="H39" s="7">
        <v>0</v>
      </c>
      <c r="I39" s="7">
        <v>0</v>
      </c>
      <c r="J39" s="8">
        <v>0</v>
      </c>
      <c r="K39" s="8">
        <v>170790.29</v>
      </c>
      <c r="L39" s="9">
        <v>6.9999999999999999E-4</v>
      </c>
    </row>
    <row r="40" spans="1:12" ht="16.5" customHeight="1" x14ac:dyDescent="0.3">
      <c r="A40" s="4" t="s">
        <v>78</v>
      </c>
      <c r="B40" s="6" t="s">
        <v>109</v>
      </c>
      <c r="C40" s="6" t="s">
        <v>169</v>
      </c>
      <c r="D40" s="4" t="s">
        <v>110</v>
      </c>
      <c r="E40" s="7">
        <v>1</v>
      </c>
      <c r="F40" s="7">
        <v>1</v>
      </c>
      <c r="G40" s="8">
        <v>155000</v>
      </c>
      <c r="H40" s="7">
        <v>0</v>
      </c>
      <c r="I40" s="7">
        <v>0</v>
      </c>
      <c r="J40" s="8">
        <v>0</v>
      </c>
      <c r="K40" s="8">
        <v>155000</v>
      </c>
      <c r="L40" s="9">
        <v>5.9999999999999995E-4</v>
      </c>
    </row>
    <row r="41" spans="1:12" ht="16.5" customHeight="1" x14ac:dyDescent="0.3">
      <c r="A41" s="4" t="s">
        <v>78</v>
      </c>
      <c r="B41" s="6" t="s">
        <v>111</v>
      </c>
      <c r="C41" s="6" t="s">
        <v>174</v>
      </c>
      <c r="D41" s="4" t="s">
        <v>112</v>
      </c>
      <c r="E41" s="7">
        <v>2</v>
      </c>
      <c r="F41" s="7">
        <v>2</v>
      </c>
      <c r="G41" s="8">
        <v>301600</v>
      </c>
      <c r="H41" s="7">
        <v>1</v>
      </c>
      <c r="I41" s="7">
        <v>1</v>
      </c>
      <c r="J41" s="8">
        <v>150800</v>
      </c>
      <c r="K41" s="8">
        <v>150800</v>
      </c>
      <c r="L41" s="9">
        <v>5.9999999999999995E-4</v>
      </c>
    </row>
    <row r="42" spans="1:12" ht="16.5" customHeight="1" x14ac:dyDescent="0.3">
      <c r="A42" s="4" t="s">
        <v>78</v>
      </c>
      <c r="B42" s="6" t="s">
        <v>113</v>
      </c>
      <c r="C42" s="6" t="s">
        <v>181</v>
      </c>
      <c r="D42" s="4" t="s">
        <v>114</v>
      </c>
      <c r="E42" s="7">
        <v>1</v>
      </c>
      <c r="F42" s="7">
        <v>1</v>
      </c>
      <c r="G42" s="8">
        <v>139998.32999999999</v>
      </c>
      <c r="H42" s="7">
        <v>0</v>
      </c>
      <c r="I42" s="7">
        <v>0</v>
      </c>
      <c r="J42" s="8">
        <v>0</v>
      </c>
      <c r="K42" s="8">
        <v>139998.32999999999</v>
      </c>
      <c r="L42" s="9">
        <v>5.9999999999999995E-4</v>
      </c>
    </row>
    <row r="43" spans="1:12" ht="16.5" customHeight="1" x14ac:dyDescent="0.3">
      <c r="A43" s="4" t="s">
        <v>78</v>
      </c>
      <c r="B43" s="6" t="s">
        <v>115</v>
      </c>
      <c r="C43" s="6" t="s">
        <v>165</v>
      </c>
      <c r="D43" s="4" t="s">
        <v>116</v>
      </c>
      <c r="E43" s="7">
        <v>2</v>
      </c>
      <c r="F43" s="7">
        <v>2</v>
      </c>
      <c r="G43" s="8">
        <v>269400</v>
      </c>
      <c r="H43" s="7">
        <v>1</v>
      </c>
      <c r="I43" s="7">
        <v>1</v>
      </c>
      <c r="J43" s="8">
        <v>134700</v>
      </c>
      <c r="K43" s="8">
        <v>134700</v>
      </c>
      <c r="L43" s="9">
        <v>5.9999999999999995E-4</v>
      </c>
    </row>
    <row r="44" spans="1:12" ht="16.5" customHeight="1" x14ac:dyDescent="0.3">
      <c r="A44" s="4" t="s">
        <v>78</v>
      </c>
      <c r="B44" s="6" t="s">
        <v>117</v>
      </c>
      <c r="C44" s="6" t="s">
        <v>159</v>
      </c>
      <c r="D44" s="4" t="s">
        <v>118</v>
      </c>
      <c r="E44" s="7">
        <v>1</v>
      </c>
      <c r="F44" s="7">
        <v>1</v>
      </c>
      <c r="G44" s="8">
        <v>130552.98</v>
      </c>
      <c r="H44" s="7">
        <v>0</v>
      </c>
      <c r="I44" s="7">
        <v>0</v>
      </c>
      <c r="J44" s="8">
        <v>0</v>
      </c>
      <c r="K44" s="8">
        <v>130552.98</v>
      </c>
      <c r="L44" s="9">
        <v>5.0000000000000001E-4</v>
      </c>
    </row>
    <row r="45" spans="1:12" ht="16.5" customHeight="1" x14ac:dyDescent="0.3">
      <c r="A45" s="4" t="s">
        <v>78</v>
      </c>
      <c r="B45" s="6" t="s">
        <v>119</v>
      </c>
      <c r="C45" s="6" t="s">
        <v>169</v>
      </c>
      <c r="D45" s="4" t="s">
        <v>120</v>
      </c>
      <c r="E45" s="7">
        <v>1</v>
      </c>
      <c r="F45" s="7">
        <v>1</v>
      </c>
      <c r="G45" s="8">
        <v>130000</v>
      </c>
      <c r="H45" s="7">
        <v>0</v>
      </c>
      <c r="I45" s="7">
        <v>0</v>
      </c>
      <c r="J45" s="8">
        <v>0</v>
      </c>
      <c r="K45" s="8">
        <v>130000</v>
      </c>
      <c r="L45" s="9">
        <v>5.0000000000000001E-4</v>
      </c>
    </row>
    <row r="46" spans="1:12" ht="16.5" customHeight="1" x14ac:dyDescent="0.3">
      <c r="A46" s="4" t="s">
        <v>78</v>
      </c>
      <c r="B46" s="6" t="s">
        <v>121</v>
      </c>
      <c r="C46" s="6" t="s">
        <v>165</v>
      </c>
      <c r="D46" s="4" t="s">
        <v>122</v>
      </c>
      <c r="E46" s="7">
        <v>2</v>
      </c>
      <c r="F46" s="7">
        <v>2</v>
      </c>
      <c r="G46" s="8">
        <v>250000</v>
      </c>
      <c r="H46" s="7">
        <v>1</v>
      </c>
      <c r="I46" s="7">
        <v>1</v>
      </c>
      <c r="J46" s="8">
        <v>125000</v>
      </c>
      <c r="K46" s="8">
        <v>125000</v>
      </c>
      <c r="L46" s="9">
        <v>5.0000000000000001E-4</v>
      </c>
    </row>
    <row r="47" spans="1:12" ht="16.5" customHeight="1" x14ac:dyDescent="0.3">
      <c r="A47" s="4" t="s">
        <v>78</v>
      </c>
      <c r="B47" s="6" t="s">
        <v>123</v>
      </c>
      <c r="C47" s="6" t="s">
        <v>165</v>
      </c>
      <c r="D47" s="4" t="s">
        <v>124</v>
      </c>
      <c r="E47" s="7">
        <v>1</v>
      </c>
      <c r="F47" s="7">
        <v>1</v>
      </c>
      <c r="G47" s="8">
        <v>120000</v>
      </c>
      <c r="H47" s="7">
        <v>0</v>
      </c>
      <c r="I47" s="7">
        <v>0</v>
      </c>
      <c r="J47" s="8">
        <v>0</v>
      </c>
      <c r="K47" s="8">
        <v>120000</v>
      </c>
      <c r="L47" s="9">
        <v>5.0000000000000001E-4</v>
      </c>
    </row>
    <row r="48" spans="1:12" ht="16.5" customHeight="1" x14ac:dyDescent="0.3">
      <c r="A48" s="4" t="s">
        <v>78</v>
      </c>
      <c r="B48" s="6" t="s">
        <v>60</v>
      </c>
      <c r="C48" s="6" t="s">
        <v>169</v>
      </c>
      <c r="D48" s="4" t="s">
        <v>61</v>
      </c>
      <c r="E48" s="7">
        <v>1</v>
      </c>
      <c r="F48" s="7">
        <v>1</v>
      </c>
      <c r="G48" s="8">
        <v>110457.42</v>
      </c>
      <c r="H48" s="7">
        <v>0</v>
      </c>
      <c r="I48" s="7">
        <v>0</v>
      </c>
      <c r="J48" s="8">
        <v>0</v>
      </c>
      <c r="K48" s="8">
        <v>110457.42</v>
      </c>
      <c r="L48" s="9">
        <v>5.0000000000000001E-4</v>
      </c>
    </row>
    <row r="49" spans="1:12" ht="16.5" customHeight="1" x14ac:dyDescent="0.3">
      <c r="A49" s="4" t="s">
        <v>78</v>
      </c>
      <c r="B49" s="6" t="s">
        <v>125</v>
      </c>
      <c r="C49" s="6" t="s">
        <v>159</v>
      </c>
      <c r="D49" s="4" t="s">
        <v>126</v>
      </c>
      <c r="E49" s="7">
        <v>1</v>
      </c>
      <c r="F49" s="7">
        <v>1</v>
      </c>
      <c r="G49" s="8">
        <v>95905.62</v>
      </c>
      <c r="H49" s="7">
        <v>0</v>
      </c>
      <c r="I49" s="7">
        <v>0</v>
      </c>
      <c r="J49" s="8">
        <v>0</v>
      </c>
      <c r="K49" s="8">
        <v>95905.62</v>
      </c>
      <c r="L49" s="9">
        <v>4.0000000000000002E-4</v>
      </c>
    </row>
    <row r="50" spans="1:12" ht="16.5" customHeight="1" x14ac:dyDescent="0.3">
      <c r="A50" s="4" t="s">
        <v>78</v>
      </c>
      <c r="B50" s="6" t="s">
        <v>127</v>
      </c>
      <c r="C50" s="6" t="s">
        <v>178</v>
      </c>
      <c r="D50" s="4" t="s">
        <v>128</v>
      </c>
      <c r="E50" s="7">
        <v>2</v>
      </c>
      <c r="F50" s="7">
        <v>2</v>
      </c>
      <c r="G50" s="8">
        <v>184672</v>
      </c>
      <c r="H50" s="7">
        <v>1</v>
      </c>
      <c r="I50" s="7">
        <v>1</v>
      </c>
      <c r="J50" s="8">
        <v>92336</v>
      </c>
      <c r="K50" s="8">
        <v>92336</v>
      </c>
      <c r="L50" s="9">
        <v>4.0000000000000002E-4</v>
      </c>
    </row>
    <row r="51" spans="1:12" ht="16.5" customHeight="1" x14ac:dyDescent="0.3">
      <c r="A51" s="4" t="s">
        <v>78</v>
      </c>
      <c r="B51" s="6" t="s">
        <v>129</v>
      </c>
      <c r="C51" s="6" t="s">
        <v>171</v>
      </c>
      <c r="D51" s="4" t="s">
        <v>130</v>
      </c>
      <c r="E51" s="7">
        <v>1</v>
      </c>
      <c r="F51" s="7">
        <v>2</v>
      </c>
      <c r="G51" s="8">
        <v>88776.859500000006</v>
      </c>
      <c r="H51" s="7">
        <v>0</v>
      </c>
      <c r="I51" s="7">
        <v>0</v>
      </c>
      <c r="J51" s="8">
        <v>0</v>
      </c>
      <c r="K51" s="8">
        <v>88776.859500000006</v>
      </c>
      <c r="L51" s="9">
        <v>4.0000000000000002E-4</v>
      </c>
    </row>
    <row r="52" spans="1:12" ht="16.5" customHeight="1" x14ac:dyDescent="0.3">
      <c r="A52" s="4" t="s">
        <v>78</v>
      </c>
      <c r="B52" s="6" t="s">
        <v>62</v>
      </c>
      <c r="C52" s="6" t="s">
        <v>164</v>
      </c>
      <c r="D52" s="4" t="s">
        <v>63</v>
      </c>
      <c r="E52" s="7">
        <v>2</v>
      </c>
      <c r="F52" s="7">
        <v>2</v>
      </c>
      <c r="G52" s="8">
        <v>86703.828999999998</v>
      </c>
      <c r="H52" s="7">
        <v>0</v>
      </c>
      <c r="I52" s="7">
        <v>0</v>
      </c>
      <c r="J52" s="8">
        <v>0</v>
      </c>
      <c r="K52" s="8">
        <v>86703.828999999998</v>
      </c>
      <c r="L52" s="9">
        <v>4.0000000000000002E-4</v>
      </c>
    </row>
    <row r="53" spans="1:12" ht="16.5" customHeight="1" x14ac:dyDescent="0.3">
      <c r="A53" s="4" t="s">
        <v>78</v>
      </c>
      <c r="B53" s="6" t="s">
        <v>23</v>
      </c>
      <c r="C53" s="6" t="s">
        <v>171</v>
      </c>
      <c r="D53" s="4" t="s">
        <v>24</v>
      </c>
      <c r="E53" s="7">
        <v>1</v>
      </c>
      <c r="F53" s="7">
        <v>2</v>
      </c>
      <c r="G53" s="8">
        <v>82034</v>
      </c>
      <c r="H53" s="7">
        <v>0</v>
      </c>
      <c r="I53" s="7">
        <v>0</v>
      </c>
      <c r="J53" s="8">
        <v>0</v>
      </c>
      <c r="K53" s="8">
        <v>82034</v>
      </c>
      <c r="L53" s="9">
        <v>2.9999999999999997E-4</v>
      </c>
    </row>
    <row r="54" spans="1:12" ht="16.5" customHeight="1" x14ac:dyDescent="0.3">
      <c r="A54" s="4" t="s">
        <v>27</v>
      </c>
      <c r="B54" s="6" t="s">
        <v>30</v>
      </c>
      <c r="C54" s="6" t="s">
        <v>167</v>
      </c>
      <c r="D54" s="4" t="s">
        <v>31</v>
      </c>
      <c r="E54" s="7">
        <v>1</v>
      </c>
      <c r="F54" s="7">
        <v>1</v>
      </c>
      <c r="G54" s="8">
        <v>75787.900800000003</v>
      </c>
      <c r="H54" s="7">
        <v>0</v>
      </c>
      <c r="I54" s="7">
        <v>0</v>
      </c>
      <c r="J54" s="8">
        <v>0</v>
      </c>
      <c r="K54" s="8">
        <v>75787.900800000003</v>
      </c>
      <c r="L54" s="9">
        <v>2.9999999999999997E-4</v>
      </c>
    </row>
    <row r="55" spans="1:12" ht="16.5" customHeight="1" x14ac:dyDescent="0.3">
      <c r="A55" s="4" t="s">
        <v>78</v>
      </c>
      <c r="B55" s="6" t="s">
        <v>131</v>
      </c>
      <c r="C55" s="6" t="s">
        <v>159</v>
      </c>
      <c r="D55" s="4" t="s">
        <v>132</v>
      </c>
      <c r="E55" s="7">
        <v>1</v>
      </c>
      <c r="F55" s="7">
        <v>2</v>
      </c>
      <c r="G55" s="8">
        <v>70000</v>
      </c>
      <c r="H55" s="7">
        <v>0</v>
      </c>
      <c r="I55" s="7">
        <v>0</v>
      </c>
      <c r="J55" s="8">
        <v>0</v>
      </c>
      <c r="K55" s="8">
        <v>70000</v>
      </c>
      <c r="L55" s="9">
        <v>2.9999999999999997E-4</v>
      </c>
    </row>
    <row r="56" spans="1:12" ht="16.5" customHeight="1" x14ac:dyDescent="0.3">
      <c r="A56" s="4" t="s">
        <v>78</v>
      </c>
      <c r="B56" s="6" t="s">
        <v>133</v>
      </c>
      <c r="C56" s="6" t="s">
        <v>169</v>
      </c>
      <c r="D56" s="4" t="s">
        <v>134</v>
      </c>
      <c r="E56" s="7">
        <v>1</v>
      </c>
      <c r="F56" s="7">
        <v>1</v>
      </c>
      <c r="G56" s="8">
        <v>65100</v>
      </c>
      <c r="H56" s="7">
        <v>0</v>
      </c>
      <c r="I56" s="7">
        <v>0</v>
      </c>
      <c r="J56" s="8">
        <v>0</v>
      </c>
      <c r="K56" s="8">
        <v>65100</v>
      </c>
      <c r="L56" s="9">
        <v>2.9999999999999997E-4</v>
      </c>
    </row>
    <row r="57" spans="1:12" ht="16.5" customHeight="1" x14ac:dyDescent="0.3">
      <c r="A57" s="4" t="s">
        <v>78</v>
      </c>
      <c r="B57" s="6" t="s">
        <v>135</v>
      </c>
      <c r="C57" s="6" t="s">
        <v>176</v>
      </c>
      <c r="D57" s="4" t="s">
        <v>136</v>
      </c>
      <c r="E57" s="7">
        <v>2</v>
      </c>
      <c r="F57" s="7">
        <v>2</v>
      </c>
      <c r="G57" s="8">
        <v>64000</v>
      </c>
      <c r="H57" s="7">
        <v>0</v>
      </c>
      <c r="I57" s="7">
        <v>0</v>
      </c>
      <c r="J57" s="8">
        <v>0</v>
      </c>
      <c r="K57" s="8">
        <v>64000</v>
      </c>
      <c r="L57" s="9">
        <v>2.9999999999999997E-4</v>
      </c>
    </row>
    <row r="58" spans="1:12" ht="16.5" customHeight="1" x14ac:dyDescent="0.3">
      <c r="A58" s="4" t="s">
        <v>78</v>
      </c>
      <c r="B58" s="6" t="s">
        <v>137</v>
      </c>
      <c r="C58" s="6" t="s">
        <v>182</v>
      </c>
      <c r="D58" s="4" t="s">
        <v>138</v>
      </c>
      <c r="E58" s="7">
        <v>2</v>
      </c>
      <c r="F58" s="7">
        <v>2</v>
      </c>
      <c r="G58" s="8">
        <v>60228.959999999999</v>
      </c>
      <c r="H58" s="7">
        <v>0</v>
      </c>
      <c r="I58" s="7">
        <v>0</v>
      </c>
      <c r="J58" s="8">
        <v>0</v>
      </c>
      <c r="K58" s="8">
        <v>60228.959999999999</v>
      </c>
      <c r="L58" s="9">
        <v>2.9999999999999997E-4</v>
      </c>
    </row>
    <row r="59" spans="1:12" ht="16.5" customHeight="1" x14ac:dyDescent="0.3">
      <c r="A59" s="4" t="s">
        <v>78</v>
      </c>
      <c r="B59" s="6" t="s">
        <v>58</v>
      </c>
      <c r="C59" s="6" t="s">
        <v>159</v>
      </c>
      <c r="D59" s="4" t="s">
        <v>59</v>
      </c>
      <c r="E59" s="7">
        <v>4</v>
      </c>
      <c r="F59" s="7">
        <v>7</v>
      </c>
      <c r="G59" s="8">
        <v>70041.23</v>
      </c>
      <c r="H59" s="7">
        <v>1</v>
      </c>
      <c r="I59" s="7">
        <v>2</v>
      </c>
      <c r="J59" s="8">
        <v>20011.78</v>
      </c>
      <c r="K59" s="8">
        <v>50029.45</v>
      </c>
      <c r="L59" s="9">
        <v>2.0000000000000001E-4</v>
      </c>
    </row>
    <row r="60" spans="1:12" ht="16.5" customHeight="1" x14ac:dyDescent="0.3">
      <c r="A60" s="4" t="s">
        <v>78</v>
      </c>
      <c r="B60" s="5"/>
      <c r="C60" s="6" t="s">
        <v>176</v>
      </c>
      <c r="D60" s="4" t="s">
        <v>139</v>
      </c>
      <c r="E60" s="7">
        <v>1</v>
      </c>
      <c r="F60" s="7">
        <v>1</v>
      </c>
      <c r="G60" s="8">
        <v>49900</v>
      </c>
      <c r="H60" s="7">
        <v>0</v>
      </c>
      <c r="I60" s="7">
        <v>0</v>
      </c>
      <c r="J60" s="8">
        <v>0</v>
      </c>
      <c r="K60" s="8">
        <v>49900</v>
      </c>
      <c r="L60" s="9">
        <v>2.0000000000000001E-4</v>
      </c>
    </row>
    <row r="61" spans="1:12" ht="16.5" customHeight="1" x14ac:dyDescent="0.3">
      <c r="A61" s="4" t="s">
        <v>78</v>
      </c>
      <c r="B61" s="6" t="s">
        <v>140</v>
      </c>
      <c r="C61" s="6" t="s">
        <v>176</v>
      </c>
      <c r="D61" s="4" t="s">
        <v>141</v>
      </c>
      <c r="E61" s="7">
        <v>1</v>
      </c>
      <c r="F61" s="7">
        <v>1</v>
      </c>
      <c r="G61" s="8">
        <v>45000</v>
      </c>
      <c r="H61" s="7">
        <v>0</v>
      </c>
      <c r="I61" s="7">
        <v>0</v>
      </c>
      <c r="J61" s="8">
        <v>0</v>
      </c>
      <c r="K61" s="8">
        <v>45000</v>
      </c>
      <c r="L61" s="9">
        <v>2.0000000000000001E-4</v>
      </c>
    </row>
    <row r="62" spans="1:12" ht="16.5" customHeight="1" x14ac:dyDescent="0.3">
      <c r="A62" s="4" t="s">
        <v>78</v>
      </c>
      <c r="B62" s="6" t="s">
        <v>72</v>
      </c>
      <c r="C62" s="6" t="s">
        <v>164</v>
      </c>
      <c r="D62" s="4" t="s">
        <v>73</v>
      </c>
      <c r="E62" s="7">
        <v>1</v>
      </c>
      <c r="F62" s="7">
        <v>1</v>
      </c>
      <c r="G62" s="8">
        <v>40800</v>
      </c>
      <c r="H62" s="7">
        <v>0</v>
      </c>
      <c r="I62" s="7">
        <v>0</v>
      </c>
      <c r="J62" s="8">
        <v>0</v>
      </c>
      <c r="K62" s="8">
        <v>40800</v>
      </c>
      <c r="L62" s="9">
        <v>2.0000000000000001E-4</v>
      </c>
    </row>
    <row r="63" spans="1:12" ht="16.5" customHeight="1" x14ac:dyDescent="0.3">
      <c r="A63" s="4" t="s">
        <v>78</v>
      </c>
      <c r="B63" s="6" t="s">
        <v>32</v>
      </c>
      <c r="C63" s="6" t="s">
        <v>160</v>
      </c>
      <c r="D63" s="4" t="s">
        <v>33</v>
      </c>
      <c r="E63" s="7">
        <v>1</v>
      </c>
      <c r="F63" s="7">
        <v>1</v>
      </c>
      <c r="G63" s="8">
        <v>39000</v>
      </c>
      <c r="H63" s="7">
        <v>0</v>
      </c>
      <c r="I63" s="7">
        <v>0</v>
      </c>
      <c r="J63" s="8">
        <v>0</v>
      </c>
      <c r="K63" s="8">
        <v>39000</v>
      </c>
      <c r="L63" s="9">
        <v>2.0000000000000001E-4</v>
      </c>
    </row>
    <row r="64" spans="1:12" ht="16.5" customHeight="1" x14ac:dyDescent="0.3">
      <c r="A64" s="4" t="s">
        <v>78</v>
      </c>
      <c r="B64" s="6" t="s">
        <v>142</v>
      </c>
      <c r="C64" s="6" t="s">
        <v>171</v>
      </c>
      <c r="D64" s="4" t="s">
        <v>143</v>
      </c>
      <c r="E64" s="7">
        <v>1</v>
      </c>
      <c r="F64" s="7">
        <v>1</v>
      </c>
      <c r="G64" s="8">
        <v>38829</v>
      </c>
      <c r="H64" s="7">
        <v>0</v>
      </c>
      <c r="I64" s="7">
        <v>0</v>
      </c>
      <c r="J64" s="8">
        <v>0</v>
      </c>
      <c r="K64" s="8">
        <v>38829</v>
      </c>
      <c r="L64" s="9">
        <v>2.0000000000000001E-4</v>
      </c>
    </row>
    <row r="65" spans="1:12" ht="16.5" customHeight="1" x14ac:dyDescent="0.3">
      <c r="A65" s="4" t="s">
        <v>78</v>
      </c>
      <c r="B65" s="6" t="s">
        <v>144</v>
      </c>
      <c r="C65" s="6" t="s">
        <v>171</v>
      </c>
      <c r="D65" s="4" t="s">
        <v>145</v>
      </c>
      <c r="E65" s="7">
        <v>1</v>
      </c>
      <c r="F65" s="7">
        <v>1</v>
      </c>
      <c r="G65" s="8">
        <v>38542.620000000003</v>
      </c>
      <c r="H65" s="7">
        <v>0</v>
      </c>
      <c r="I65" s="7">
        <v>0</v>
      </c>
      <c r="J65" s="8">
        <v>0</v>
      </c>
      <c r="K65" s="8">
        <v>38542.620000000003</v>
      </c>
      <c r="L65" s="9">
        <v>2.0000000000000001E-4</v>
      </c>
    </row>
    <row r="66" spans="1:12" ht="16.5" customHeight="1" x14ac:dyDescent="0.3">
      <c r="A66" s="4" t="s">
        <v>78</v>
      </c>
      <c r="B66" s="6" t="s">
        <v>146</v>
      </c>
      <c r="C66" s="6" t="s">
        <v>171</v>
      </c>
      <c r="D66" s="4" t="s">
        <v>147</v>
      </c>
      <c r="E66" s="7">
        <v>1</v>
      </c>
      <c r="F66" s="7">
        <v>1</v>
      </c>
      <c r="G66" s="8">
        <v>37520</v>
      </c>
      <c r="H66" s="7">
        <v>0</v>
      </c>
      <c r="I66" s="7">
        <v>0</v>
      </c>
      <c r="J66" s="8">
        <v>0</v>
      </c>
      <c r="K66" s="8">
        <v>37520</v>
      </c>
      <c r="L66" s="9">
        <v>2.0000000000000001E-4</v>
      </c>
    </row>
    <row r="67" spans="1:12" ht="16.5" customHeight="1" x14ac:dyDescent="0.3">
      <c r="A67" s="4" t="s">
        <v>78</v>
      </c>
      <c r="B67" s="6" t="s">
        <v>66</v>
      </c>
      <c r="C67" s="6" t="s">
        <v>171</v>
      </c>
      <c r="D67" s="4" t="s">
        <v>67</v>
      </c>
      <c r="E67" s="7">
        <v>1</v>
      </c>
      <c r="F67" s="7">
        <v>1</v>
      </c>
      <c r="G67" s="8">
        <v>35000</v>
      </c>
      <c r="H67" s="7">
        <v>0</v>
      </c>
      <c r="I67" s="7">
        <v>0</v>
      </c>
      <c r="J67" s="8">
        <v>0</v>
      </c>
      <c r="K67" s="8">
        <v>35000</v>
      </c>
      <c r="L67" s="9">
        <v>1E-4</v>
      </c>
    </row>
    <row r="68" spans="1:12" ht="16.5" customHeight="1" x14ac:dyDescent="0.3">
      <c r="A68" s="4" t="s">
        <v>27</v>
      </c>
      <c r="B68" s="6" t="s">
        <v>32</v>
      </c>
      <c r="C68" s="6" t="s">
        <v>160</v>
      </c>
      <c r="D68" s="4" t="s">
        <v>33</v>
      </c>
      <c r="E68" s="7">
        <v>1</v>
      </c>
      <c r="F68" s="7">
        <v>1</v>
      </c>
      <c r="G68" s="8">
        <v>33057.024799999999</v>
      </c>
      <c r="H68" s="7">
        <v>0</v>
      </c>
      <c r="I68" s="7">
        <v>0</v>
      </c>
      <c r="J68" s="8">
        <v>0</v>
      </c>
      <c r="K68" s="8">
        <v>33057.024799999999</v>
      </c>
      <c r="L68" s="9">
        <v>1E-4</v>
      </c>
    </row>
    <row r="69" spans="1:12" ht="16.5" customHeight="1" x14ac:dyDescent="0.3">
      <c r="A69" s="4" t="s">
        <v>78</v>
      </c>
      <c r="B69" s="5"/>
      <c r="C69" s="5" t="s">
        <v>173</v>
      </c>
      <c r="D69" s="4" t="s">
        <v>148</v>
      </c>
      <c r="E69" s="7">
        <v>1</v>
      </c>
      <c r="F69" s="7">
        <v>1</v>
      </c>
      <c r="G69" s="8">
        <v>15000</v>
      </c>
      <c r="H69" s="7">
        <v>0</v>
      </c>
      <c r="I69" s="7">
        <v>0</v>
      </c>
      <c r="J69" s="8">
        <v>0</v>
      </c>
      <c r="K69" s="8">
        <v>15000</v>
      </c>
      <c r="L69" s="9">
        <v>1E-4</v>
      </c>
    </row>
    <row r="70" spans="1:12" ht="16.5" customHeight="1" x14ac:dyDescent="0.3">
      <c r="A70" s="4" t="s">
        <v>78</v>
      </c>
      <c r="B70" s="6" t="s">
        <v>152</v>
      </c>
      <c r="C70" s="6" t="s">
        <v>165</v>
      </c>
      <c r="D70" s="4" t="s">
        <v>153</v>
      </c>
      <c r="E70" s="7">
        <v>1</v>
      </c>
      <c r="F70" s="7">
        <v>1</v>
      </c>
      <c r="G70" s="8">
        <v>120000</v>
      </c>
      <c r="H70" s="7">
        <v>1</v>
      </c>
      <c r="I70" s="7">
        <v>1</v>
      </c>
      <c r="J70" s="8">
        <v>120000</v>
      </c>
      <c r="K70" s="8">
        <v>0</v>
      </c>
      <c r="L70" s="10">
        <v>0</v>
      </c>
    </row>
    <row r="71" spans="1:12" ht="16.5" customHeight="1" x14ac:dyDescent="0.3">
      <c r="A71" s="4" t="s">
        <v>78</v>
      </c>
      <c r="B71" s="6" t="s">
        <v>150</v>
      </c>
      <c r="C71" s="6" t="s">
        <v>173</v>
      </c>
      <c r="D71" s="4" t="s">
        <v>151</v>
      </c>
      <c r="E71" s="7">
        <v>1</v>
      </c>
      <c r="F71" s="7">
        <v>1</v>
      </c>
      <c r="G71" s="8">
        <v>190000</v>
      </c>
      <c r="H71" s="7">
        <v>1</v>
      </c>
      <c r="I71" s="7">
        <v>1</v>
      </c>
      <c r="J71" s="8">
        <v>190000</v>
      </c>
      <c r="K71" s="8">
        <v>0</v>
      </c>
      <c r="L71" s="10">
        <v>0</v>
      </c>
    </row>
    <row r="72" spans="1:12" ht="16.5" customHeight="1" x14ac:dyDescent="0.3">
      <c r="A72" s="4" t="s">
        <v>78</v>
      </c>
      <c r="B72" s="6" t="s">
        <v>156</v>
      </c>
      <c r="C72" s="6" t="s">
        <v>169</v>
      </c>
      <c r="D72" s="4" t="s">
        <v>157</v>
      </c>
      <c r="E72" s="7">
        <v>1</v>
      </c>
      <c r="F72" s="7">
        <v>1</v>
      </c>
      <c r="G72" s="8">
        <v>65100</v>
      </c>
      <c r="H72" s="7">
        <v>1</v>
      </c>
      <c r="I72" s="7">
        <v>1</v>
      </c>
      <c r="J72" s="8">
        <v>65100</v>
      </c>
      <c r="K72" s="8">
        <v>0</v>
      </c>
      <c r="L72" s="10">
        <v>0</v>
      </c>
    </row>
    <row r="73" spans="1:12" ht="16.5" customHeight="1" x14ac:dyDescent="0.3">
      <c r="A73" s="4" t="s">
        <v>78</v>
      </c>
      <c r="B73" s="6" t="s">
        <v>154</v>
      </c>
      <c r="C73" s="6" t="s">
        <v>171</v>
      </c>
      <c r="D73" s="4" t="s">
        <v>155</v>
      </c>
      <c r="E73" s="7">
        <v>1</v>
      </c>
      <c r="F73" s="7">
        <v>5</v>
      </c>
      <c r="G73" s="8">
        <v>180415</v>
      </c>
      <c r="H73" s="7">
        <v>1</v>
      </c>
      <c r="I73" s="7">
        <v>5</v>
      </c>
      <c r="J73" s="8">
        <v>180415</v>
      </c>
      <c r="K73" s="8">
        <v>0</v>
      </c>
      <c r="L73" s="10">
        <v>0</v>
      </c>
    </row>
    <row r="74" spans="1:12" ht="16.5" customHeight="1" x14ac:dyDescent="0.3">
      <c r="A74" s="4" t="s">
        <v>78</v>
      </c>
      <c r="B74" s="6" t="s">
        <v>50</v>
      </c>
      <c r="C74" s="6" t="s">
        <v>159</v>
      </c>
      <c r="D74" s="4" t="s">
        <v>51</v>
      </c>
      <c r="E74" s="7">
        <v>1</v>
      </c>
      <c r="F74" s="7">
        <v>1</v>
      </c>
      <c r="G74" s="8">
        <v>225910</v>
      </c>
      <c r="H74" s="7">
        <v>1</v>
      </c>
      <c r="I74" s="7">
        <v>1</v>
      </c>
      <c r="J74" s="8">
        <v>225910</v>
      </c>
      <c r="K74" s="8">
        <v>0</v>
      </c>
      <c r="L74" s="10">
        <v>0</v>
      </c>
    </row>
    <row r="75" spans="1:12" ht="16.5" customHeight="1" x14ac:dyDescent="0.3">
      <c r="A75" s="4" t="s">
        <v>78</v>
      </c>
      <c r="B75" s="5"/>
      <c r="C75" s="5"/>
      <c r="D75" s="4" t="s">
        <v>149</v>
      </c>
      <c r="E75" s="7">
        <v>1</v>
      </c>
      <c r="F75" s="7">
        <v>1</v>
      </c>
      <c r="G75" s="8">
        <v>752915</v>
      </c>
      <c r="H75" s="7">
        <v>1</v>
      </c>
      <c r="I75" s="7">
        <v>1</v>
      </c>
      <c r="J75" s="8">
        <v>752915</v>
      </c>
      <c r="K75" s="8">
        <v>0</v>
      </c>
      <c r="L75" s="10">
        <v>0</v>
      </c>
    </row>
    <row r="76" spans="1:12" ht="16.5" customHeight="1" x14ac:dyDescent="0.3">
      <c r="A76" s="4" t="s">
        <v>78</v>
      </c>
      <c r="B76" s="6" t="s">
        <v>64</v>
      </c>
      <c r="C76" s="6" t="s">
        <v>183</v>
      </c>
      <c r="D76" s="4" t="s">
        <v>65</v>
      </c>
      <c r="E76" s="7">
        <v>0</v>
      </c>
      <c r="F76" s="7">
        <v>0</v>
      </c>
      <c r="G76" s="8">
        <v>0</v>
      </c>
      <c r="H76" s="7">
        <v>1</v>
      </c>
      <c r="I76" s="7">
        <v>4</v>
      </c>
      <c r="J76" s="8">
        <v>85792</v>
      </c>
      <c r="K76" s="8">
        <v>-85792</v>
      </c>
      <c r="L76" s="9">
        <v>-4.0000000000000002E-4</v>
      </c>
    </row>
    <row r="78" spans="1:12" x14ac:dyDescent="0.3">
      <c r="K78" s="11"/>
    </row>
  </sheetData>
  <autoFilter ref="G1:G78" xr:uid="{00000000-0009-0000-0000-000001000000}"/>
  <sortState xmlns:xlrd2="http://schemas.microsoft.com/office/spreadsheetml/2017/richdata2" ref="A2:L76">
    <sortCondition descending="1" ref="K2:K76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METRICAS</vt:lpstr>
      <vt:lpstr>VENTAS 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Milesi</dc:creator>
  <cp:lastModifiedBy>julian rodriguez</cp:lastModifiedBy>
  <dcterms:created xsi:type="dcterms:W3CDTF">2026-05-30T14:38:59Z</dcterms:created>
  <dcterms:modified xsi:type="dcterms:W3CDTF">2026-08-07T03:22:02Z</dcterms:modified>
</cp:coreProperties>
</file>