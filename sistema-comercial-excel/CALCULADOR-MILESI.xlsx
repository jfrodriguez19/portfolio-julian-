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a30e69a4787da0f/Escritorio/cosas/PORTAFOLIO/EXEL CALCULADOR CUOTAS/"/>
    </mc:Choice>
  </mc:AlternateContent>
  <xr:revisionPtr revIDLastSave="16" documentId="8_{6BEFB6A1-86B5-41D0-80C6-535E5BB1A3D8}" xr6:coauthVersionLast="47" xr6:coauthVersionMax="47" xr10:uidLastSave="{0EB22C5F-749D-418B-AF95-C7B39C0F76B9}"/>
  <bookViews>
    <workbookView xWindow="-108" yWindow="-108" windowWidth="23256" windowHeight="12456" activeTab="1" xr2:uid="{00000000-000D-0000-FFFF-FFFF00000000}"/>
  </bookViews>
  <sheets>
    <sheet name="CALCULADOR FINANCIERA" sheetId="1" r:id="rId1"/>
    <sheet name="TARJETA DE CREDITO" sheetId="2" r:id="rId2"/>
    <sheet name="LISTA PRECIO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H5" i="3"/>
  <c r="F5" i="3"/>
  <c r="I5" i="3"/>
  <c r="G5" i="3"/>
  <c r="J5" i="3"/>
  <c r="E6" i="3"/>
  <c r="H6" i="3"/>
  <c r="F6" i="3"/>
  <c r="I6" i="3"/>
  <c r="G6" i="3"/>
  <c r="J6" i="3"/>
  <c r="E7" i="3"/>
  <c r="H7" i="3"/>
  <c r="F7" i="3"/>
  <c r="I7" i="3"/>
  <c r="G7" i="3"/>
  <c r="J7" i="3"/>
  <c r="E8" i="3"/>
  <c r="H8" i="3"/>
  <c r="F8" i="3"/>
  <c r="I8" i="3"/>
  <c r="G8" i="3"/>
  <c r="J8" i="3"/>
  <c r="E9" i="3"/>
  <c r="H9" i="3"/>
  <c r="F9" i="3"/>
  <c r="I9" i="3"/>
  <c r="G9" i="3"/>
  <c r="J9" i="3"/>
  <c r="E10" i="3"/>
  <c r="H10" i="3"/>
  <c r="F10" i="3"/>
  <c r="I10" i="3"/>
  <c r="G10" i="3"/>
  <c r="J10" i="3"/>
  <c r="E11" i="3"/>
  <c r="H11" i="3"/>
  <c r="F11" i="3"/>
  <c r="I11" i="3"/>
  <c r="G11" i="3"/>
  <c r="J11" i="3"/>
  <c r="E12" i="3"/>
  <c r="H12" i="3"/>
  <c r="F12" i="3"/>
  <c r="I12" i="3"/>
  <c r="G12" i="3"/>
  <c r="J12" i="3"/>
  <c r="E13" i="3"/>
  <c r="H13" i="3"/>
  <c r="F13" i="3"/>
  <c r="I13" i="3"/>
  <c r="G13" i="3"/>
  <c r="J13" i="3"/>
  <c r="E14" i="3"/>
  <c r="H14" i="3"/>
  <c r="F14" i="3"/>
  <c r="I14" i="3"/>
  <c r="G14" i="3"/>
  <c r="J14" i="3"/>
  <c r="E15" i="3"/>
  <c r="H15" i="3"/>
  <c r="F15" i="3"/>
  <c r="I15" i="3"/>
  <c r="G15" i="3"/>
  <c r="J15" i="3"/>
  <c r="E16" i="3"/>
  <c r="H16" i="3"/>
  <c r="F16" i="3"/>
  <c r="I16" i="3"/>
  <c r="G16" i="3"/>
  <c r="J16" i="3"/>
  <c r="E17" i="3"/>
  <c r="H17" i="3"/>
  <c r="F17" i="3"/>
  <c r="I17" i="3"/>
  <c r="G17" i="3"/>
  <c r="J17" i="3"/>
  <c r="E18" i="3"/>
  <c r="H18" i="3"/>
  <c r="F18" i="3"/>
  <c r="I18" i="3"/>
  <c r="G18" i="3"/>
  <c r="J18" i="3"/>
  <c r="E19" i="3"/>
  <c r="H19" i="3"/>
  <c r="F19" i="3"/>
  <c r="I19" i="3"/>
  <c r="G19" i="3"/>
  <c r="J19" i="3"/>
  <c r="E20" i="3"/>
  <c r="H20" i="3"/>
  <c r="F20" i="3"/>
  <c r="I20" i="3"/>
  <c r="G20" i="3"/>
  <c r="J20" i="3"/>
  <c r="E21" i="3"/>
  <c r="H21" i="3"/>
  <c r="F21" i="3"/>
  <c r="I21" i="3"/>
  <c r="G21" i="3"/>
  <c r="J21" i="3"/>
  <c r="E22" i="3"/>
  <c r="H22" i="3"/>
  <c r="F22" i="3"/>
  <c r="I22" i="3"/>
  <c r="G22" i="3"/>
  <c r="J22" i="3"/>
  <c r="E23" i="3"/>
  <c r="H23" i="3"/>
  <c r="F23" i="3"/>
  <c r="I23" i="3"/>
  <c r="G23" i="3"/>
  <c r="J23" i="3"/>
  <c r="E24" i="3"/>
  <c r="H24" i="3"/>
  <c r="F24" i="3"/>
  <c r="I24" i="3"/>
  <c r="G24" i="3"/>
  <c r="J24" i="3"/>
  <c r="E25" i="3"/>
  <c r="H25" i="3"/>
  <c r="F25" i="3"/>
  <c r="I25" i="3"/>
  <c r="G25" i="3"/>
  <c r="J25" i="3"/>
  <c r="E26" i="3"/>
  <c r="H26" i="3"/>
  <c r="F26" i="3"/>
  <c r="I26" i="3"/>
  <c r="G26" i="3"/>
  <c r="J26" i="3"/>
  <c r="E27" i="3"/>
  <c r="H27" i="3"/>
  <c r="F27" i="3"/>
  <c r="I27" i="3"/>
  <c r="G27" i="3"/>
  <c r="J27" i="3"/>
  <c r="E28" i="3"/>
  <c r="H28" i="3"/>
  <c r="F28" i="3"/>
  <c r="I28" i="3"/>
  <c r="G28" i="3"/>
  <c r="J28" i="3"/>
  <c r="E29" i="3"/>
  <c r="H29" i="3"/>
  <c r="F29" i="3"/>
  <c r="I29" i="3"/>
  <c r="G29" i="3"/>
  <c r="J29" i="3"/>
  <c r="E30" i="3"/>
  <c r="H30" i="3"/>
  <c r="F30" i="3"/>
  <c r="I30" i="3"/>
  <c r="G30" i="3"/>
  <c r="J30" i="3"/>
  <c r="E31" i="3"/>
  <c r="H31" i="3"/>
  <c r="F31" i="3"/>
  <c r="I31" i="3"/>
  <c r="G31" i="3"/>
  <c r="J31" i="3"/>
  <c r="E32" i="3"/>
  <c r="H32" i="3"/>
  <c r="F32" i="3"/>
  <c r="I32" i="3"/>
  <c r="G32" i="3"/>
  <c r="J32" i="3"/>
  <c r="E33" i="3"/>
  <c r="H33" i="3"/>
  <c r="F33" i="3"/>
  <c r="I33" i="3"/>
  <c r="G33" i="3"/>
  <c r="J33" i="3"/>
  <c r="E34" i="3"/>
  <c r="H34" i="3"/>
  <c r="F34" i="3"/>
  <c r="I34" i="3"/>
  <c r="G34" i="3"/>
  <c r="J34" i="3"/>
  <c r="E35" i="3"/>
  <c r="H35" i="3"/>
  <c r="F35" i="3"/>
  <c r="I35" i="3"/>
  <c r="G35" i="3"/>
  <c r="J35" i="3"/>
  <c r="E36" i="3"/>
  <c r="H36" i="3"/>
  <c r="F36" i="3"/>
  <c r="I36" i="3"/>
  <c r="G36" i="3"/>
  <c r="J36" i="3"/>
  <c r="E37" i="3"/>
  <c r="H37" i="3"/>
  <c r="F37" i="3"/>
  <c r="I37" i="3"/>
  <c r="G37" i="3"/>
  <c r="J37" i="3"/>
  <c r="E38" i="3"/>
  <c r="H38" i="3"/>
  <c r="F38" i="3"/>
  <c r="I38" i="3"/>
  <c r="G38" i="3"/>
  <c r="J38" i="3"/>
  <c r="E39" i="3"/>
  <c r="H39" i="3"/>
  <c r="F39" i="3"/>
  <c r="I39" i="3"/>
  <c r="G39" i="3"/>
  <c r="J39" i="3"/>
  <c r="E40" i="3"/>
  <c r="H40" i="3"/>
  <c r="F40" i="3"/>
  <c r="I40" i="3"/>
  <c r="G40" i="3"/>
  <c r="J40" i="3"/>
  <c r="E41" i="3"/>
  <c r="H41" i="3"/>
  <c r="F41" i="3"/>
  <c r="I41" i="3"/>
  <c r="G41" i="3"/>
  <c r="J41" i="3"/>
  <c r="E42" i="3"/>
  <c r="H42" i="3"/>
  <c r="F42" i="3"/>
  <c r="I42" i="3"/>
  <c r="G42" i="3"/>
  <c r="J42" i="3"/>
  <c r="E43" i="3"/>
  <c r="H43" i="3"/>
  <c r="F43" i="3"/>
  <c r="I43" i="3"/>
  <c r="G43" i="3"/>
  <c r="J43" i="3"/>
  <c r="E44" i="3"/>
  <c r="H44" i="3"/>
  <c r="F44" i="3"/>
  <c r="I44" i="3"/>
  <c r="G44" i="3"/>
  <c r="J44" i="3"/>
  <c r="E45" i="3"/>
  <c r="H45" i="3"/>
  <c r="F45" i="3"/>
  <c r="I45" i="3"/>
  <c r="G45" i="3"/>
  <c r="J45" i="3"/>
  <c r="E46" i="3"/>
  <c r="H46" i="3"/>
  <c r="F46" i="3"/>
  <c r="I46" i="3"/>
  <c r="G46" i="3"/>
  <c r="J46" i="3"/>
  <c r="E47" i="3"/>
  <c r="H47" i="3"/>
  <c r="F47" i="3"/>
  <c r="I47" i="3"/>
  <c r="G47" i="3"/>
  <c r="J47" i="3"/>
  <c r="E48" i="3"/>
  <c r="H48" i="3"/>
  <c r="F48" i="3"/>
  <c r="I48" i="3"/>
  <c r="G48" i="3"/>
  <c r="J48" i="3"/>
  <c r="E49" i="3"/>
  <c r="H49" i="3"/>
  <c r="F49" i="3"/>
  <c r="I49" i="3"/>
  <c r="G49" i="3"/>
  <c r="J49" i="3"/>
  <c r="E50" i="3"/>
  <c r="H50" i="3"/>
  <c r="F50" i="3"/>
  <c r="I50" i="3"/>
  <c r="G50" i="3"/>
  <c r="J50" i="3"/>
  <c r="E51" i="3"/>
  <c r="H51" i="3"/>
  <c r="F51" i="3"/>
  <c r="I51" i="3"/>
  <c r="G51" i="3"/>
  <c r="J51" i="3"/>
  <c r="E52" i="3"/>
  <c r="H52" i="3"/>
  <c r="F52" i="3"/>
  <c r="I52" i="3"/>
  <c r="G52" i="3"/>
  <c r="J52" i="3"/>
  <c r="E53" i="3"/>
  <c r="H53" i="3"/>
  <c r="F53" i="3"/>
  <c r="I53" i="3"/>
  <c r="G53" i="3"/>
  <c r="J53" i="3"/>
  <c r="E54" i="3"/>
  <c r="H54" i="3"/>
  <c r="F54" i="3"/>
  <c r="I54" i="3"/>
  <c r="G54" i="3"/>
  <c r="J54" i="3"/>
  <c r="E55" i="3"/>
  <c r="H55" i="3"/>
  <c r="F55" i="3"/>
  <c r="I55" i="3"/>
  <c r="G55" i="3"/>
  <c r="J55" i="3"/>
  <c r="E56" i="3"/>
  <c r="H56" i="3"/>
  <c r="F56" i="3"/>
  <c r="I56" i="3"/>
  <c r="G56" i="3"/>
  <c r="J56" i="3"/>
  <c r="E57" i="3"/>
  <c r="H57" i="3"/>
  <c r="F57" i="3"/>
  <c r="I57" i="3"/>
  <c r="G57" i="3"/>
  <c r="J57" i="3"/>
  <c r="E58" i="3"/>
  <c r="H58" i="3"/>
  <c r="F58" i="3"/>
  <c r="I58" i="3"/>
  <c r="G58" i="3"/>
  <c r="J58" i="3"/>
  <c r="E59" i="3"/>
  <c r="H59" i="3"/>
  <c r="F59" i="3"/>
  <c r="I59" i="3"/>
  <c r="G59" i="3"/>
  <c r="J59" i="3"/>
  <c r="E60" i="3"/>
  <c r="H60" i="3"/>
  <c r="F60" i="3"/>
  <c r="I60" i="3"/>
  <c r="G60" i="3"/>
  <c r="J60" i="3"/>
  <c r="E61" i="3"/>
  <c r="H61" i="3"/>
  <c r="F61" i="3"/>
  <c r="I61" i="3"/>
  <c r="G61" i="3"/>
  <c r="J61" i="3"/>
  <c r="E62" i="3"/>
  <c r="H62" i="3"/>
  <c r="F62" i="3"/>
  <c r="I62" i="3"/>
  <c r="G62" i="3"/>
  <c r="J62" i="3"/>
  <c r="E63" i="3"/>
  <c r="H63" i="3"/>
  <c r="F63" i="3"/>
  <c r="I63" i="3"/>
  <c r="G63" i="3"/>
  <c r="J63" i="3"/>
  <c r="E64" i="3"/>
  <c r="H64" i="3"/>
  <c r="F64" i="3"/>
  <c r="I64" i="3"/>
  <c r="G64" i="3"/>
  <c r="J64" i="3"/>
  <c r="E65" i="3"/>
  <c r="H65" i="3"/>
  <c r="F65" i="3"/>
  <c r="I65" i="3"/>
  <c r="G65" i="3"/>
  <c r="J65" i="3"/>
  <c r="E66" i="3"/>
  <c r="H66" i="3"/>
  <c r="F66" i="3"/>
  <c r="I66" i="3"/>
  <c r="G66" i="3"/>
  <c r="J66" i="3"/>
  <c r="E67" i="3"/>
  <c r="H67" i="3"/>
  <c r="F67" i="3"/>
  <c r="I67" i="3"/>
  <c r="G67" i="3"/>
  <c r="J67" i="3"/>
  <c r="E68" i="3"/>
  <c r="H68" i="3"/>
  <c r="F68" i="3"/>
  <c r="I68" i="3"/>
  <c r="G68" i="3"/>
  <c r="J68" i="3"/>
  <c r="E69" i="3"/>
  <c r="H69" i="3"/>
  <c r="F69" i="3"/>
  <c r="I69" i="3"/>
  <c r="G69" i="3"/>
  <c r="J69" i="3"/>
  <c r="E70" i="3"/>
  <c r="H70" i="3"/>
  <c r="F70" i="3"/>
  <c r="I70" i="3"/>
  <c r="G70" i="3"/>
  <c r="J70" i="3"/>
  <c r="E71" i="3"/>
  <c r="H71" i="3"/>
  <c r="F71" i="3"/>
  <c r="I71" i="3"/>
  <c r="G71" i="3"/>
  <c r="J71" i="3"/>
  <c r="E72" i="3"/>
  <c r="H72" i="3"/>
  <c r="F72" i="3"/>
  <c r="I72" i="3"/>
  <c r="G72" i="3"/>
  <c r="J72" i="3"/>
  <c r="E73" i="3"/>
  <c r="H73" i="3"/>
  <c r="F73" i="3"/>
  <c r="I73" i="3"/>
  <c r="G73" i="3"/>
  <c r="J73" i="3"/>
  <c r="E74" i="3"/>
  <c r="H74" i="3"/>
  <c r="F74" i="3"/>
  <c r="I74" i="3"/>
  <c r="G74" i="3"/>
  <c r="J74" i="3"/>
  <c r="E75" i="3"/>
  <c r="H75" i="3"/>
  <c r="F75" i="3"/>
  <c r="I75" i="3"/>
  <c r="G75" i="3"/>
  <c r="J75" i="3"/>
  <c r="E76" i="3"/>
  <c r="H76" i="3"/>
  <c r="F76" i="3"/>
  <c r="I76" i="3"/>
  <c r="G76" i="3"/>
  <c r="J76" i="3"/>
  <c r="E77" i="3"/>
  <c r="H77" i="3"/>
  <c r="F77" i="3"/>
  <c r="I77" i="3"/>
  <c r="G77" i="3"/>
  <c r="J77" i="3"/>
  <c r="E78" i="3"/>
  <c r="H78" i="3"/>
  <c r="F78" i="3"/>
  <c r="I78" i="3"/>
  <c r="G78" i="3"/>
  <c r="J78" i="3"/>
  <c r="E79" i="3"/>
  <c r="H79" i="3"/>
  <c r="F79" i="3"/>
  <c r="I79" i="3"/>
  <c r="G79" i="3"/>
  <c r="J79" i="3"/>
  <c r="E80" i="3"/>
  <c r="H80" i="3"/>
  <c r="F80" i="3"/>
  <c r="I80" i="3"/>
  <c r="G80" i="3"/>
  <c r="J80" i="3"/>
  <c r="E81" i="3"/>
  <c r="H81" i="3"/>
  <c r="F81" i="3"/>
  <c r="I81" i="3"/>
  <c r="G81" i="3"/>
  <c r="J81" i="3"/>
  <c r="E82" i="3"/>
  <c r="H82" i="3"/>
  <c r="F82" i="3"/>
  <c r="I82" i="3"/>
  <c r="G82" i="3"/>
  <c r="J82" i="3"/>
  <c r="E83" i="3"/>
  <c r="H83" i="3"/>
  <c r="F83" i="3"/>
  <c r="I83" i="3"/>
  <c r="G83" i="3"/>
  <c r="J83" i="3"/>
  <c r="E84" i="3"/>
  <c r="H84" i="3"/>
  <c r="F84" i="3"/>
  <c r="I84" i="3"/>
  <c r="G84" i="3"/>
  <c r="J84" i="3"/>
  <c r="E85" i="3"/>
  <c r="H85" i="3"/>
  <c r="F85" i="3"/>
  <c r="I85" i="3"/>
  <c r="G85" i="3"/>
  <c r="J85" i="3"/>
  <c r="E86" i="3"/>
  <c r="H86" i="3"/>
  <c r="F86" i="3"/>
  <c r="I86" i="3"/>
  <c r="G86" i="3"/>
  <c r="J86" i="3"/>
  <c r="E87" i="3"/>
  <c r="H87" i="3"/>
  <c r="F87" i="3"/>
  <c r="I87" i="3"/>
  <c r="G87" i="3"/>
  <c r="J87" i="3"/>
  <c r="E88" i="3"/>
  <c r="H88" i="3"/>
  <c r="F88" i="3"/>
  <c r="I88" i="3"/>
  <c r="G88" i="3"/>
  <c r="J88" i="3"/>
  <c r="E89" i="3"/>
  <c r="H89" i="3"/>
  <c r="F89" i="3"/>
  <c r="I89" i="3"/>
  <c r="G89" i="3"/>
  <c r="J89" i="3"/>
  <c r="E90" i="3"/>
  <c r="H90" i="3"/>
  <c r="F90" i="3"/>
  <c r="I90" i="3"/>
  <c r="G90" i="3"/>
  <c r="J90" i="3"/>
  <c r="E91" i="3"/>
  <c r="H91" i="3"/>
  <c r="F91" i="3"/>
  <c r="I91" i="3"/>
  <c r="G91" i="3"/>
  <c r="J91" i="3"/>
  <c r="E92" i="3"/>
  <c r="H92" i="3"/>
  <c r="F92" i="3"/>
  <c r="I92" i="3"/>
  <c r="G92" i="3"/>
  <c r="J92" i="3"/>
  <c r="E93" i="3"/>
  <c r="H93" i="3"/>
  <c r="F93" i="3"/>
  <c r="I93" i="3"/>
  <c r="G93" i="3"/>
  <c r="J93" i="3"/>
  <c r="E94" i="3"/>
  <c r="H94" i="3"/>
  <c r="F94" i="3"/>
  <c r="I94" i="3"/>
  <c r="G94" i="3"/>
  <c r="J94" i="3"/>
  <c r="E95" i="3"/>
  <c r="H95" i="3"/>
  <c r="F95" i="3"/>
  <c r="I95" i="3"/>
  <c r="G95" i="3"/>
  <c r="J95" i="3"/>
  <c r="E96" i="3"/>
  <c r="H96" i="3"/>
  <c r="F96" i="3"/>
  <c r="I96" i="3"/>
  <c r="G96" i="3"/>
  <c r="J96" i="3"/>
  <c r="E97" i="3"/>
  <c r="H97" i="3"/>
  <c r="F97" i="3"/>
  <c r="I97" i="3"/>
  <c r="G97" i="3"/>
  <c r="J97" i="3"/>
  <c r="E98" i="3"/>
  <c r="H98" i="3"/>
  <c r="F98" i="3"/>
  <c r="I98" i="3"/>
  <c r="G98" i="3"/>
  <c r="J98" i="3"/>
  <c r="E99" i="3"/>
  <c r="H99" i="3"/>
  <c r="F99" i="3"/>
  <c r="I99" i="3"/>
  <c r="G99" i="3"/>
  <c r="J99" i="3"/>
  <c r="E100" i="3"/>
  <c r="H100" i="3"/>
  <c r="F100" i="3"/>
  <c r="I100" i="3"/>
  <c r="G100" i="3"/>
  <c r="J100" i="3"/>
  <c r="E101" i="3"/>
  <c r="H101" i="3"/>
  <c r="F101" i="3"/>
  <c r="I101" i="3"/>
  <c r="G101" i="3"/>
  <c r="J101" i="3"/>
  <c r="E102" i="3"/>
  <c r="H102" i="3"/>
  <c r="F102" i="3"/>
  <c r="I102" i="3"/>
  <c r="G102" i="3"/>
  <c r="J102" i="3"/>
  <c r="E103" i="3"/>
  <c r="H103" i="3"/>
  <c r="F103" i="3"/>
  <c r="I103" i="3"/>
  <c r="G103" i="3"/>
  <c r="J103" i="3"/>
  <c r="E104" i="3"/>
  <c r="H104" i="3"/>
  <c r="F104" i="3"/>
  <c r="I104" i="3"/>
  <c r="G104" i="3"/>
  <c r="J104" i="3"/>
  <c r="E105" i="3"/>
  <c r="H105" i="3"/>
  <c r="F105" i="3"/>
  <c r="I105" i="3"/>
  <c r="G105" i="3"/>
  <c r="J105" i="3"/>
  <c r="E106" i="3"/>
  <c r="H106" i="3"/>
  <c r="F106" i="3"/>
  <c r="I106" i="3"/>
  <c r="G106" i="3"/>
  <c r="J106" i="3"/>
  <c r="E107" i="3"/>
  <c r="H107" i="3"/>
  <c r="F107" i="3"/>
  <c r="I107" i="3"/>
  <c r="G107" i="3"/>
  <c r="J107" i="3"/>
  <c r="E108" i="3"/>
  <c r="H108" i="3"/>
  <c r="F108" i="3"/>
  <c r="I108" i="3"/>
  <c r="G108" i="3"/>
  <c r="J108" i="3"/>
  <c r="E109" i="3"/>
  <c r="H109" i="3"/>
  <c r="F109" i="3"/>
  <c r="I109" i="3"/>
  <c r="G109" i="3"/>
  <c r="J109" i="3"/>
  <c r="E110" i="3"/>
  <c r="H110" i="3"/>
  <c r="F110" i="3"/>
  <c r="I110" i="3"/>
  <c r="G110" i="3"/>
  <c r="J110" i="3"/>
  <c r="E111" i="3"/>
  <c r="H111" i="3"/>
  <c r="F111" i="3"/>
  <c r="I111" i="3"/>
  <c r="G111" i="3"/>
  <c r="J111" i="3"/>
  <c r="E112" i="3"/>
  <c r="H112" i="3"/>
  <c r="F112" i="3"/>
  <c r="I112" i="3"/>
  <c r="G112" i="3"/>
  <c r="J112" i="3"/>
  <c r="E113" i="3"/>
  <c r="H113" i="3"/>
  <c r="F113" i="3"/>
  <c r="I113" i="3"/>
  <c r="G113" i="3"/>
  <c r="J113" i="3"/>
  <c r="E114" i="3"/>
  <c r="H114" i="3"/>
  <c r="F114" i="3"/>
  <c r="I114" i="3"/>
  <c r="G114" i="3"/>
  <c r="J114" i="3"/>
  <c r="E115" i="3"/>
  <c r="H115" i="3"/>
  <c r="F115" i="3"/>
  <c r="I115" i="3"/>
  <c r="G115" i="3"/>
  <c r="J115" i="3"/>
  <c r="E116" i="3"/>
  <c r="H116" i="3"/>
  <c r="F116" i="3"/>
  <c r="I116" i="3"/>
  <c r="G116" i="3"/>
  <c r="J116" i="3"/>
  <c r="E117" i="3"/>
  <c r="H117" i="3"/>
  <c r="F117" i="3"/>
  <c r="I117" i="3"/>
  <c r="G117" i="3"/>
  <c r="J117" i="3"/>
  <c r="E118" i="3"/>
  <c r="H118" i="3"/>
  <c r="F118" i="3"/>
  <c r="I118" i="3"/>
  <c r="G118" i="3"/>
  <c r="J118" i="3"/>
  <c r="E119" i="3"/>
  <c r="H119" i="3"/>
  <c r="F119" i="3"/>
  <c r="I119" i="3"/>
  <c r="G119" i="3"/>
  <c r="J119" i="3"/>
  <c r="E120" i="3"/>
  <c r="H120" i="3"/>
  <c r="F120" i="3"/>
  <c r="I120" i="3"/>
  <c r="G120" i="3"/>
  <c r="J120" i="3"/>
  <c r="E121" i="3"/>
  <c r="H121" i="3"/>
  <c r="F121" i="3"/>
  <c r="I121" i="3"/>
  <c r="G121" i="3"/>
  <c r="J121" i="3"/>
  <c r="E122" i="3"/>
  <c r="H122" i="3"/>
  <c r="F122" i="3"/>
  <c r="I122" i="3"/>
  <c r="G122" i="3"/>
  <c r="J122" i="3"/>
  <c r="E123" i="3"/>
  <c r="H123" i="3"/>
  <c r="F123" i="3"/>
  <c r="I123" i="3"/>
  <c r="G123" i="3"/>
  <c r="J123" i="3"/>
  <c r="E124" i="3"/>
  <c r="H124" i="3"/>
  <c r="F124" i="3"/>
  <c r="I124" i="3"/>
  <c r="G124" i="3"/>
  <c r="J124" i="3"/>
  <c r="E125" i="3"/>
  <c r="H125" i="3"/>
  <c r="F125" i="3"/>
  <c r="I125" i="3"/>
  <c r="G125" i="3"/>
  <c r="J125" i="3"/>
  <c r="E126" i="3"/>
  <c r="H126" i="3"/>
  <c r="F126" i="3"/>
  <c r="I126" i="3"/>
  <c r="G126" i="3"/>
  <c r="J126" i="3"/>
  <c r="E127" i="3"/>
  <c r="H127" i="3"/>
  <c r="F127" i="3"/>
  <c r="I127" i="3"/>
  <c r="G127" i="3"/>
  <c r="J127" i="3"/>
  <c r="E128" i="3"/>
  <c r="H128" i="3"/>
  <c r="F128" i="3"/>
  <c r="I128" i="3"/>
  <c r="G128" i="3"/>
  <c r="J128" i="3"/>
  <c r="E129" i="3"/>
  <c r="H129" i="3"/>
  <c r="F129" i="3"/>
  <c r="I129" i="3"/>
  <c r="G129" i="3"/>
  <c r="J129" i="3"/>
  <c r="E130" i="3"/>
  <c r="H130" i="3"/>
  <c r="F130" i="3"/>
  <c r="I130" i="3"/>
  <c r="G130" i="3"/>
  <c r="J130" i="3"/>
  <c r="E131" i="3"/>
  <c r="H131" i="3"/>
  <c r="F131" i="3"/>
  <c r="I131" i="3"/>
  <c r="G131" i="3"/>
  <c r="J131" i="3"/>
  <c r="E132" i="3"/>
  <c r="H132" i="3"/>
  <c r="F132" i="3"/>
  <c r="I132" i="3"/>
  <c r="G132" i="3"/>
  <c r="J132" i="3"/>
  <c r="E133" i="3"/>
  <c r="H133" i="3"/>
  <c r="F133" i="3"/>
  <c r="I133" i="3"/>
  <c r="G133" i="3"/>
  <c r="J133" i="3"/>
  <c r="E134" i="3"/>
  <c r="H134" i="3"/>
  <c r="F134" i="3"/>
  <c r="I134" i="3"/>
  <c r="G134" i="3"/>
  <c r="J134" i="3"/>
  <c r="E135" i="3"/>
  <c r="H135" i="3"/>
  <c r="F135" i="3"/>
  <c r="I135" i="3"/>
  <c r="G135" i="3"/>
  <c r="J135" i="3"/>
  <c r="E136" i="3"/>
  <c r="H136" i="3"/>
  <c r="F136" i="3"/>
  <c r="I136" i="3"/>
  <c r="G136" i="3"/>
  <c r="J136" i="3"/>
  <c r="E137" i="3"/>
  <c r="H137" i="3"/>
  <c r="F137" i="3"/>
  <c r="I137" i="3"/>
  <c r="G137" i="3"/>
  <c r="J137" i="3"/>
  <c r="E138" i="3"/>
  <c r="H138" i="3"/>
  <c r="F138" i="3"/>
  <c r="I138" i="3"/>
  <c r="G138" i="3"/>
  <c r="J138" i="3"/>
  <c r="E139" i="3"/>
  <c r="H139" i="3"/>
  <c r="F139" i="3"/>
  <c r="I139" i="3"/>
  <c r="G139" i="3"/>
  <c r="J139" i="3"/>
  <c r="E3" i="3"/>
  <c r="H3" i="3"/>
  <c r="F3" i="3"/>
  <c r="I3" i="3"/>
  <c r="G3" i="3"/>
  <c r="J3" i="3"/>
  <c r="E4" i="3"/>
  <c r="H4" i="3"/>
  <c r="F4" i="3"/>
  <c r="I4" i="3"/>
  <c r="G4" i="3"/>
  <c r="J4" i="3"/>
  <c r="G2" i="3"/>
  <c r="J2" i="3" s="1"/>
  <c r="F2" i="3"/>
  <c r="I2" i="3"/>
  <c r="E2" i="3"/>
  <c r="H2" i="3"/>
  <c r="A9" i="1"/>
  <c r="A12" i="1"/>
  <c r="A15" i="1"/>
  <c r="A18" i="1"/>
  <c r="A21" i="1"/>
  <c r="C9" i="1"/>
  <c r="C12" i="1"/>
  <c r="C15" i="1"/>
  <c r="C18" i="1"/>
  <c r="C21" i="1"/>
  <c r="B10" i="2"/>
  <c r="C10" i="2"/>
  <c r="A10" i="2"/>
</calcChain>
</file>

<file path=xl/sharedStrings.xml><?xml version="1.0" encoding="utf-8"?>
<sst xmlns="http://schemas.openxmlformats.org/spreadsheetml/2006/main" count="29" uniqueCount="25">
  <si>
    <t>MONTO INICIAL</t>
  </si>
  <si>
    <t>EN 3 CUOTAS</t>
  </si>
  <si>
    <t>EN 6 CUOTAS</t>
  </si>
  <si>
    <t>EN 9 CUOTAS</t>
  </si>
  <si>
    <t>EN 12 CUOTAS</t>
  </si>
  <si>
    <t>FINANCIACION CONVENIOS</t>
  </si>
  <si>
    <t>TARJETA DE CREDITO</t>
  </si>
  <si>
    <t>PRODUCTO</t>
  </si>
  <si>
    <t>EN 4 CUOTAS</t>
  </si>
  <si>
    <t>EN 5 CUOTAS</t>
  </si>
  <si>
    <t>EN 7 CUOTAS</t>
  </si>
  <si>
    <t>EN 8 CUOTAS</t>
  </si>
  <si>
    <t>EN 10 CUOTAS</t>
  </si>
  <si>
    <t>EN 11 CUOTAS</t>
  </si>
  <si>
    <t>ARTICULO</t>
  </si>
  <si>
    <t>CODIGO</t>
  </si>
  <si>
    <t xml:space="preserve">MARCA </t>
  </si>
  <si>
    <t>COSTO</t>
  </si>
  <si>
    <t>MAYORISTA +15%</t>
  </si>
  <si>
    <t>CONTADO REVENTA +25%</t>
  </si>
  <si>
    <t>PVP +30%</t>
  </si>
  <si>
    <t>MAYORISTA +IVA</t>
  </si>
  <si>
    <t>CONTADO REVENTA +IVA</t>
  </si>
  <si>
    <t>PVP +IVA</t>
  </si>
  <si>
    <t>ARTICULO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</si>
</sst>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u val="double"/>
      <sz val="16"/>
      <color theme="1"/>
      <name val="Calibri"/>
      <family val="2"/>
      <scheme val="minor"/>
    </font>
    <font>
      <sz val="9"/>
      <color rgb="FF4F4F4F"/>
      <name val="Arial"/>
      <family val="2"/>
    </font>
    <font>
      <b/>
      <i/>
      <u val="double"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65" fontId="5" fillId="0" borderId="2" xfId="1" applyNumberFormat="1" applyFont="1" applyBorder="1" applyAlignment="1">
      <alignment horizontal="center"/>
    </xf>
    <xf numFmtId="165" fontId="4" fillId="0" borderId="0" xfId="1" applyNumberFormat="1" applyFont="1" applyAlignment="1">
      <alignment horizontal="center"/>
    </xf>
    <xf numFmtId="165" fontId="5" fillId="2" borderId="1" xfId="1" applyNumberFormat="1" applyFont="1" applyFill="1" applyBorder="1" applyAlignment="1">
      <alignment horizontal="center"/>
    </xf>
    <xf numFmtId="0" fontId="4" fillId="0" borderId="0" xfId="0" applyFont="1"/>
    <xf numFmtId="0" fontId="2" fillId="0" borderId="0" xfId="0" applyFont="1"/>
    <xf numFmtId="0" fontId="6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4" fontId="7" fillId="0" borderId="0" xfId="0" applyNumberFormat="1" applyFont="1"/>
    <xf numFmtId="165" fontId="3" fillId="6" borderId="1" xfId="1" applyNumberFormat="1" applyFont="1" applyFill="1" applyBorder="1" applyAlignment="1">
      <alignment horizontal="center"/>
    </xf>
    <xf numFmtId="164" fontId="0" fillId="0" borderId="0" xfId="1" applyFont="1"/>
    <xf numFmtId="0" fontId="8" fillId="7" borderId="3" xfId="0" applyFont="1" applyFill="1" applyBorder="1"/>
    <xf numFmtId="164" fontId="8" fillId="7" borderId="3" xfId="1" applyFont="1" applyFill="1" applyBorder="1"/>
    <xf numFmtId="164" fontId="0" fillId="0" borderId="0" xfId="0" applyNumberFormat="1"/>
    <xf numFmtId="0" fontId="6" fillId="4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workbookViewId="0">
      <selection activeCell="E7" sqref="E7"/>
    </sheetView>
  </sheetViews>
  <sheetFormatPr baseColWidth="10" defaultColWidth="10.77734375" defaultRowHeight="14.4" x14ac:dyDescent="0.3"/>
  <cols>
    <col min="1" max="1" width="41.44140625" customWidth="1"/>
    <col min="2" max="2" width="18.77734375" customWidth="1"/>
    <col min="3" max="3" width="48.77734375" customWidth="1"/>
    <col min="4" max="4" width="17.109375" customWidth="1"/>
    <col min="5" max="5" width="17" customWidth="1"/>
    <col min="6" max="6" width="19.77734375" customWidth="1"/>
    <col min="7" max="7" width="20.5546875" customWidth="1"/>
    <col min="8" max="8" width="23.109375" customWidth="1"/>
    <col min="9" max="9" width="22.33203125" customWidth="1"/>
    <col min="10" max="10" width="21.109375" customWidth="1"/>
    <col min="11" max="11" width="24.33203125" customWidth="1"/>
    <col min="13" max="13" width="27" customWidth="1"/>
  </cols>
  <sheetData>
    <row r="1" spans="1:12" ht="21.6" thickBot="1" x14ac:dyDescent="0.45">
      <c r="A1" s="16" t="s">
        <v>5</v>
      </c>
      <c r="B1" s="16"/>
      <c r="C1" s="16"/>
      <c r="L1" s="9"/>
    </row>
    <row r="2" spans="1:12" ht="18.600000000000001" thickTop="1" x14ac:dyDescent="0.35">
      <c r="A2" s="1" t="s">
        <v>0</v>
      </c>
      <c r="C2" s="11" t="s">
        <v>7</v>
      </c>
    </row>
    <row r="3" spans="1:12" ht="18.600000000000001" thickBot="1" x14ac:dyDescent="0.4">
      <c r="A3" s="3">
        <v>500000</v>
      </c>
      <c r="C3" s="3"/>
      <c r="D3" s="2"/>
      <c r="E3" s="2"/>
    </row>
    <row r="4" spans="1:12" ht="18.600000000000001" thickTop="1" x14ac:dyDescent="0.35">
      <c r="B4" s="2"/>
      <c r="D4" s="4"/>
      <c r="E4" s="4"/>
      <c r="F4" s="4"/>
      <c r="J4" s="2"/>
    </row>
    <row r="5" spans="1:12" ht="18" x14ac:dyDescent="0.35">
      <c r="B5" s="4"/>
      <c r="C5" s="4"/>
      <c r="D5" s="4"/>
      <c r="E5" s="4"/>
      <c r="F5" s="4"/>
      <c r="J5" s="4"/>
    </row>
    <row r="6" spans="1:12" ht="18" x14ac:dyDescent="0.35">
      <c r="A6" s="4"/>
      <c r="B6" s="4"/>
      <c r="C6" s="4"/>
      <c r="D6" s="4"/>
      <c r="E6" s="4"/>
      <c r="F6" s="4"/>
      <c r="J6" s="4"/>
    </row>
    <row r="7" spans="1:12" ht="18.600000000000001" thickBot="1" x14ac:dyDescent="0.4">
      <c r="A7" s="4"/>
      <c r="B7" s="4"/>
      <c r="C7" s="4"/>
      <c r="G7" s="4"/>
      <c r="H7" s="4"/>
      <c r="I7" s="4"/>
      <c r="J7" s="4"/>
    </row>
    <row r="8" spans="1:12" ht="18.600000000000001" thickTop="1" x14ac:dyDescent="0.35">
      <c r="A8" s="5" t="s">
        <v>1</v>
      </c>
      <c r="C8" s="5" t="s">
        <v>11</v>
      </c>
    </row>
    <row r="9" spans="1:12" ht="18.600000000000001" thickBot="1" x14ac:dyDescent="0.4">
      <c r="A9" s="3">
        <f>A3*1.33/3</f>
        <v>221666.66666666666</v>
      </c>
      <c r="C9" s="3">
        <f>A3*1.88/8</f>
        <v>117500</v>
      </c>
    </row>
    <row r="10" spans="1:12" ht="19.2" thickTop="1" thickBot="1" x14ac:dyDescent="0.4">
      <c r="A10" s="6"/>
      <c r="B10" s="6"/>
      <c r="G10" s="6"/>
      <c r="H10" s="6"/>
      <c r="I10" s="6"/>
      <c r="J10" s="6"/>
    </row>
    <row r="11" spans="1:12" ht="18.600000000000001" thickTop="1" x14ac:dyDescent="0.35">
      <c r="A11" s="5" t="s">
        <v>8</v>
      </c>
      <c r="C11" s="5" t="s">
        <v>3</v>
      </c>
    </row>
    <row r="12" spans="1:12" ht="18.600000000000001" thickBot="1" x14ac:dyDescent="0.4">
      <c r="A12" s="3">
        <f>A3*1.44/4</f>
        <v>180000</v>
      </c>
      <c r="C12" s="3">
        <f>A3*1.99/9</f>
        <v>110555.55555555556</v>
      </c>
    </row>
    <row r="13" spans="1:12" ht="15.6" thickTop="1" thickBot="1" x14ac:dyDescent="0.35"/>
    <row r="14" spans="1:12" ht="18.600000000000001" thickTop="1" x14ac:dyDescent="0.35">
      <c r="A14" s="5" t="s">
        <v>9</v>
      </c>
      <c r="C14" s="5" t="s">
        <v>12</v>
      </c>
    </row>
    <row r="15" spans="1:12" ht="18.600000000000001" thickBot="1" x14ac:dyDescent="0.4">
      <c r="A15" s="3">
        <f>A3*1.55/5</f>
        <v>155000</v>
      </c>
      <c r="C15" s="3">
        <f>A3*2.1 /10</f>
        <v>105000</v>
      </c>
    </row>
    <row r="16" spans="1:12" ht="15.6" thickTop="1" thickBot="1" x14ac:dyDescent="0.35"/>
    <row r="17" spans="1:3" ht="18.600000000000001" thickTop="1" x14ac:dyDescent="0.35">
      <c r="A17" s="5" t="s">
        <v>2</v>
      </c>
      <c r="C17" s="5" t="s">
        <v>13</v>
      </c>
    </row>
    <row r="18" spans="1:3" ht="18.600000000000001" thickBot="1" x14ac:dyDescent="0.4">
      <c r="A18" s="3">
        <f>A3*1.66/6</f>
        <v>138333.33333333334</v>
      </c>
      <c r="C18" s="3">
        <f>A3*2.21/11</f>
        <v>100454.54545454546</v>
      </c>
    </row>
    <row r="19" spans="1:3" ht="15.6" thickTop="1" thickBot="1" x14ac:dyDescent="0.35"/>
    <row r="20" spans="1:3" ht="18.600000000000001" thickTop="1" x14ac:dyDescent="0.35">
      <c r="A20" s="5" t="s">
        <v>10</v>
      </c>
      <c r="C20" s="5" t="s">
        <v>4</v>
      </c>
    </row>
    <row r="21" spans="1:3" ht="18.600000000000001" thickBot="1" x14ac:dyDescent="0.4">
      <c r="A21" s="3">
        <f>A3*1.77/7</f>
        <v>126428.57142857143</v>
      </c>
      <c r="C21" s="3">
        <f>A3*2.32/12</f>
        <v>96666.666666666672</v>
      </c>
    </row>
    <row r="22" spans="1:3" ht="15" thickTop="1" x14ac:dyDescent="0.3"/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workbookViewId="0">
      <selection activeCell="F13" sqref="F13"/>
    </sheetView>
  </sheetViews>
  <sheetFormatPr baseColWidth="10" defaultColWidth="10.77734375" defaultRowHeight="14.4" x14ac:dyDescent="0.3"/>
  <cols>
    <col min="1" max="1" width="22.5546875" customWidth="1"/>
    <col min="2" max="2" width="23.77734375" customWidth="1"/>
    <col min="3" max="3" width="26.77734375" customWidth="1"/>
    <col min="5" max="5" width="29.77734375" customWidth="1"/>
  </cols>
  <sheetData>
    <row r="1" spans="1:5" ht="21" x14ac:dyDescent="0.4">
      <c r="C1" s="8" t="s">
        <v>6</v>
      </c>
    </row>
    <row r="2" spans="1:5" x14ac:dyDescent="0.3">
      <c r="E2" s="7"/>
    </row>
    <row r="4" spans="1:5" ht="15" thickBot="1" x14ac:dyDescent="0.35"/>
    <row r="5" spans="1:5" ht="18.600000000000001" thickTop="1" x14ac:dyDescent="0.35">
      <c r="A5" s="1" t="s">
        <v>0</v>
      </c>
      <c r="B5" s="2"/>
      <c r="C5" s="2"/>
    </row>
    <row r="6" spans="1:5" ht="18.600000000000001" thickBot="1" x14ac:dyDescent="0.4">
      <c r="A6" s="3">
        <v>300000</v>
      </c>
      <c r="B6" s="4"/>
      <c r="C6" s="4"/>
    </row>
    <row r="7" spans="1:5" ht="18.600000000000001" thickTop="1" x14ac:dyDescent="0.35">
      <c r="A7" s="4"/>
      <c r="B7" s="4"/>
      <c r="C7" s="4"/>
    </row>
    <row r="8" spans="1:5" ht="18.600000000000001" thickBot="1" x14ac:dyDescent="0.4">
      <c r="A8" s="4"/>
      <c r="B8" s="4"/>
      <c r="C8" s="4"/>
    </row>
    <row r="9" spans="1:5" ht="18.600000000000001" thickTop="1" x14ac:dyDescent="0.35">
      <c r="A9" s="5" t="s">
        <v>1</v>
      </c>
      <c r="B9" s="5" t="s">
        <v>2</v>
      </c>
      <c r="C9" s="5" t="s">
        <v>4</v>
      </c>
    </row>
    <row r="10" spans="1:5" ht="18.600000000000001" thickBot="1" x14ac:dyDescent="0.4">
      <c r="A10" s="3">
        <f>A6/3</f>
        <v>100000</v>
      </c>
      <c r="B10" s="3">
        <f>A6*1.4/6</f>
        <v>70000</v>
      </c>
      <c r="C10" s="3">
        <f>A6*1.85/12</f>
        <v>46250</v>
      </c>
    </row>
    <row r="11" spans="1:5" ht="15" thickTop="1" x14ac:dyDescent="0.3"/>
    <row r="20" spans="2:2" x14ac:dyDescent="0.3">
      <c r="B20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9"/>
  <sheetViews>
    <sheetView workbookViewId="0">
      <selection activeCell="C12" sqref="C12"/>
    </sheetView>
  </sheetViews>
  <sheetFormatPr baseColWidth="10" defaultColWidth="10.77734375" defaultRowHeight="14.4" x14ac:dyDescent="0.3"/>
  <cols>
    <col min="1" max="1" width="20.44140625" customWidth="1"/>
    <col min="2" max="2" width="18.21875" customWidth="1"/>
    <col min="3" max="3" width="24.44140625" style="12" customWidth="1"/>
    <col min="4" max="4" width="14.5546875" customWidth="1"/>
    <col min="5" max="5" width="20.88671875" style="12" customWidth="1"/>
    <col min="6" max="6" width="27.33203125" style="12" customWidth="1"/>
    <col min="7" max="7" width="14" style="12" customWidth="1"/>
    <col min="8" max="8" width="20.6640625" customWidth="1"/>
    <col min="9" max="9" width="26.109375" customWidth="1"/>
    <col min="10" max="10" width="13" bestFit="1" customWidth="1"/>
  </cols>
  <sheetData>
    <row r="1" spans="1:10" ht="16.8" thickTop="1" thickBot="1" x14ac:dyDescent="0.35">
      <c r="A1" s="13" t="s">
        <v>14</v>
      </c>
      <c r="B1" s="13" t="s">
        <v>15</v>
      </c>
      <c r="C1" s="14" t="s">
        <v>17</v>
      </c>
      <c r="D1" s="13" t="s">
        <v>16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</row>
    <row r="2" spans="1:10" ht="15" thickTop="1" x14ac:dyDescent="0.3">
      <c r="A2" t="s">
        <v>24</v>
      </c>
      <c r="B2">
        <v>1</v>
      </c>
      <c r="C2" s="12">
        <v>0</v>
      </c>
      <c r="E2" s="12">
        <f>C2*1.15</f>
        <v>0</v>
      </c>
      <c r="F2" s="12">
        <f>C2*1.25</f>
        <v>0</v>
      </c>
      <c r="G2" s="12">
        <f>C2*1.3</f>
        <v>0</v>
      </c>
      <c r="H2" s="15">
        <f>E2*1.21</f>
        <v>0</v>
      </c>
      <c r="I2" s="15">
        <f>F2*1.21</f>
        <v>0</v>
      </c>
      <c r="J2" s="15">
        <f>G2*1.21</f>
        <v>0</v>
      </c>
    </row>
    <row r="3" spans="1:10" x14ac:dyDescent="0.3">
      <c r="E3" s="12">
        <f t="shared" ref="E3:E41" si="0">C3*1.15</f>
        <v>0</v>
      </c>
      <c r="F3" s="12">
        <f t="shared" ref="F3:F41" si="1">C3*1.25</f>
        <v>0</v>
      </c>
      <c r="G3" s="12">
        <f t="shared" ref="G3:G41" si="2">C3*1.3</f>
        <v>0</v>
      </c>
      <c r="H3" s="15">
        <f t="shared" ref="H3:H66" si="3">E3*1.21</f>
        <v>0</v>
      </c>
      <c r="I3" s="15">
        <f t="shared" ref="I3:I66" si="4">F3*1.21</f>
        <v>0</v>
      </c>
      <c r="J3" s="15">
        <f t="shared" ref="J3:J66" si="5">G3*1.21</f>
        <v>0</v>
      </c>
    </row>
    <row r="4" spans="1:10" x14ac:dyDescent="0.3">
      <c r="E4" s="12">
        <f t="shared" si="0"/>
        <v>0</v>
      </c>
      <c r="F4" s="12">
        <f t="shared" si="1"/>
        <v>0</v>
      </c>
      <c r="G4" s="12">
        <f t="shared" si="2"/>
        <v>0</v>
      </c>
      <c r="H4" s="15">
        <f t="shared" si="3"/>
        <v>0</v>
      </c>
      <c r="I4" s="15">
        <f t="shared" si="4"/>
        <v>0</v>
      </c>
      <c r="J4" s="15">
        <f t="shared" si="5"/>
        <v>0</v>
      </c>
    </row>
    <row r="5" spans="1:10" x14ac:dyDescent="0.3">
      <c r="E5" s="12">
        <f t="shared" si="0"/>
        <v>0</v>
      </c>
      <c r="F5" s="12">
        <f t="shared" si="1"/>
        <v>0</v>
      </c>
      <c r="G5" s="12">
        <f t="shared" si="2"/>
        <v>0</v>
      </c>
      <c r="H5" s="15">
        <f t="shared" si="3"/>
        <v>0</v>
      </c>
      <c r="I5" s="15">
        <f t="shared" si="4"/>
        <v>0</v>
      </c>
      <c r="J5" s="15">
        <f t="shared" si="5"/>
        <v>0</v>
      </c>
    </row>
    <row r="6" spans="1:10" x14ac:dyDescent="0.3">
      <c r="E6" s="12">
        <f t="shared" si="0"/>
        <v>0</v>
      </c>
      <c r="F6" s="12">
        <f t="shared" si="1"/>
        <v>0</v>
      </c>
      <c r="G6" s="12">
        <f t="shared" si="2"/>
        <v>0</v>
      </c>
      <c r="H6" s="15">
        <f t="shared" si="3"/>
        <v>0</v>
      </c>
      <c r="I6" s="15">
        <f t="shared" si="4"/>
        <v>0</v>
      </c>
      <c r="J6" s="15">
        <f t="shared" si="5"/>
        <v>0</v>
      </c>
    </row>
    <row r="7" spans="1:10" x14ac:dyDescent="0.3">
      <c r="E7" s="12">
        <f t="shared" si="0"/>
        <v>0</v>
      </c>
      <c r="F7" s="12">
        <f t="shared" si="1"/>
        <v>0</v>
      </c>
      <c r="G7" s="12">
        <f t="shared" si="2"/>
        <v>0</v>
      </c>
      <c r="H7" s="15">
        <f t="shared" si="3"/>
        <v>0</v>
      </c>
      <c r="I7" s="15">
        <f t="shared" si="4"/>
        <v>0</v>
      </c>
      <c r="J7" s="15">
        <f t="shared" si="5"/>
        <v>0</v>
      </c>
    </row>
    <row r="8" spans="1:10" x14ac:dyDescent="0.3">
      <c r="E8" s="12">
        <f t="shared" si="0"/>
        <v>0</v>
      </c>
      <c r="F8" s="12">
        <f t="shared" si="1"/>
        <v>0</v>
      </c>
      <c r="G8" s="12">
        <f t="shared" si="2"/>
        <v>0</v>
      </c>
      <c r="H8" s="15">
        <f t="shared" si="3"/>
        <v>0</v>
      </c>
      <c r="I8" s="15">
        <f t="shared" si="4"/>
        <v>0</v>
      </c>
      <c r="J8" s="15">
        <f t="shared" si="5"/>
        <v>0</v>
      </c>
    </row>
    <row r="9" spans="1:10" x14ac:dyDescent="0.3">
      <c r="E9" s="12">
        <f t="shared" si="0"/>
        <v>0</v>
      </c>
      <c r="F9" s="12">
        <f t="shared" si="1"/>
        <v>0</v>
      </c>
      <c r="G9" s="12">
        <f t="shared" si="2"/>
        <v>0</v>
      </c>
      <c r="H9" s="15">
        <f t="shared" si="3"/>
        <v>0</v>
      </c>
      <c r="I9" s="15">
        <f t="shared" si="4"/>
        <v>0</v>
      </c>
      <c r="J9" s="15">
        <f t="shared" si="5"/>
        <v>0</v>
      </c>
    </row>
    <row r="10" spans="1:10" x14ac:dyDescent="0.3">
      <c r="E10" s="12">
        <f t="shared" si="0"/>
        <v>0</v>
      </c>
      <c r="F10" s="12">
        <f t="shared" si="1"/>
        <v>0</v>
      </c>
      <c r="G10" s="12">
        <f t="shared" si="2"/>
        <v>0</v>
      </c>
      <c r="H10" s="15">
        <f t="shared" si="3"/>
        <v>0</v>
      </c>
      <c r="I10" s="15">
        <f t="shared" si="4"/>
        <v>0</v>
      </c>
      <c r="J10" s="15">
        <f t="shared" si="5"/>
        <v>0</v>
      </c>
    </row>
    <row r="11" spans="1:10" x14ac:dyDescent="0.3">
      <c r="D11" s="12"/>
      <c r="E11" s="12">
        <f t="shared" si="0"/>
        <v>0</v>
      </c>
      <c r="F11" s="12">
        <f t="shared" si="1"/>
        <v>0</v>
      </c>
      <c r="G11" s="12">
        <f t="shared" si="2"/>
        <v>0</v>
      </c>
      <c r="H11" s="15">
        <f t="shared" si="3"/>
        <v>0</v>
      </c>
      <c r="I11" s="15">
        <f t="shared" si="4"/>
        <v>0</v>
      </c>
      <c r="J11" s="15">
        <f t="shared" si="5"/>
        <v>0</v>
      </c>
    </row>
    <row r="12" spans="1:10" x14ac:dyDescent="0.3">
      <c r="D12" s="12"/>
      <c r="E12" s="12">
        <f t="shared" si="0"/>
        <v>0</v>
      </c>
      <c r="F12" s="12">
        <f t="shared" si="1"/>
        <v>0</v>
      </c>
      <c r="G12" s="12">
        <f t="shared" si="2"/>
        <v>0</v>
      </c>
      <c r="H12" s="15">
        <f t="shared" si="3"/>
        <v>0</v>
      </c>
      <c r="I12" s="15">
        <f t="shared" si="4"/>
        <v>0</v>
      </c>
      <c r="J12" s="15">
        <f t="shared" si="5"/>
        <v>0</v>
      </c>
    </row>
    <row r="13" spans="1:10" x14ac:dyDescent="0.3">
      <c r="D13" s="12"/>
      <c r="E13" s="12">
        <f t="shared" si="0"/>
        <v>0</v>
      </c>
      <c r="F13" s="12">
        <f t="shared" si="1"/>
        <v>0</v>
      </c>
      <c r="G13" s="12">
        <f t="shared" si="2"/>
        <v>0</v>
      </c>
      <c r="H13" s="15">
        <f t="shared" si="3"/>
        <v>0</v>
      </c>
      <c r="I13" s="15">
        <f t="shared" si="4"/>
        <v>0</v>
      </c>
      <c r="J13" s="15">
        <f t="shared" si="5"/>
        <v>0</v>
      </c>
    </row>
    <row r="14" spans="1:10" x14ac:dyDescent="0.3">
      <c r="D14" s="12"/>
      <c r="E14" s="12">
        <f t="shared" si="0"/>
        <v>0</v>
      </c>
      <c r="F14" s="12">
        <f t="shared" si="1"/>
        <v>0</v>
      </c>
      <c r="G14" s="12">
        <f t="shared" si="2"/>
        <v>0</v>
      </c>
      <c r="H14" s="15">
        <f t="shared" si="3"/>
        <v>0</v>
      </c>
      <c r="I14" s="15">
        <f t="shared" si="4"/>
        <v>0</v>
      </c>
      <c r="J14" s="15">
        <f t="shared" si="5"/>
        <v>0</v>
      </c>
    </row>
    <row r="15" spans="1:10" x14ac:dyDescent="0.3">
      <c r="D15" s="12"/>
      <c r="E15" s="12">
        <f t="shared" si="0"/>
        <v>0</v>
      </c>
      <c r="F15" s="12">
        <f t="shared" si="1"/>
        <v>0</v>
      </c>
      <c r="G15" s="12">
        <f t="shared" si="2"/>
        <v>0</v>
      </c>
      <c r="H15" s="15">
        <f t="shared" si="3"/>
        <v>0</v>
      </c>
      <c r="I15" s="15">
        <f t="shared" si="4"/>
        <v>0</v>
      </c>
      <c r="J15" s="15">
        <f t="shared" si="5"/>
        <v>0</v>
      </c>
    </row>
    <row r="16" spans="1:10" x14ac:dyDescent="0.3">
      <c r="D16" s="12"/>
      <c r="E16" s="12">
        <f t="shared" si="0"/>
        <v>0</v>
      </c>
      <c r="F16" s="12">
        <f t="shared" si="1"/>
        <v>0</v>
      </c>
      <c r="G16" s="12">
        <f t="shared" si="2"/>
        <v>0</v>
      </c>
      <c r="H16" s="15">
        <f t="shared" si="3"/>
        <v>0</v>
      </c>
      <c r="I16" s="15">
        <f t="shared" si="4"/>
        <v>0</v>
      </c>
      <c r="J16" s="15">
        <f t="shared" si="5"/>
        <v>0</v>
      </c>
    </row>
    <row r="17" spans="5:10" x14ac:dyDescent="0.3">
      <c r="E17" s="12">
        <f t="shared" si="0"/>
        <v>0</v>
      </c>
      <c r="F17" s="12">
        <f t="shared" si="1"/>
        <v>0</v>
      </c>
      <c r="G17" s="12">
        <f t="shared" si="2"/>
        <v>0</v>
      </c>
      <c r="H17" s="15">
        <f t="shared" si="3"/>
        <v>0</v>
      </c>
      <c r="I17" s="15">
        <f t="shared" si="4"/>
        <v>0</v>
      </c>
      <c r="J17" s="15">
        <f t="shared" si="5"/>
        <v>0</v>
      </c>
    </row>
    <row r="18" spans="5:10" x14ac:dyDescent="0.3">
      <c r="E18" s="12">
        <f t="shared" si="0"/>
        <v>0</v>
      </c>
      <c r="F18" s="12">
        <f t="shared" si="1"/>
        <v>0</v>
      </c>
      <c r="G18" s="12">
        <f t="shared" si="2"/>
        <v>0</v>
      </c>
      <c r="H18" s="15">
        <f t="shared" si="3"/>
        <v>0</v>
      </c>
      <c r="I18" s="15">
        <f t="shared" si="4"/>
        <v>0</v>
      </c>
      <c r="J18" s="15">
        <f t="shared" si="5"/>
        <v>0</v>
      </c>
    </row>
    <row r="19" spans="5:10" x14ac:dyDescent="0.3">
      <c r="E19" s="12">
        <f t="shared" si="0"/>
        <v>0</v>
      </c>
      <c r="F19" s="12">
        <f t="shared" si="1"/>
        <v>0</v>
      </c>
      <c r="G19" s="12">
        <f t="shared" si="2"/>
        <v>0</v>
      </c>
      <c r="H19" s="15">
        <f t="shared" si="3"/>
        <v>0</v>
      </c>
      <c r="I19" s="15">
        <f t="shared" si="4"/>
        <v>0</v>
      </c>
      <c r="J19" s="15">
        <f t="shared" si="5"/>
        <v>0</v>
      </c>
    </row>
    <row r="20" spans="5:10" x14ac:dyDescent="0.3">
      <c r="E20" s="12">
        <f t="shared" si="0"/>
        <v>0</v>
      </c>
      <c r="F20" s="12">
        <f t="shared" si="1"/>
        <v>0</v>
      </c>
      <c r="G20" s="12">
        <f t="shared" si="2"/>
        <v>0</v>
      </c>
      <c r="H20" s="15">
        <f t="shared" si="3"/>
        <v>0</v>
      </c>
      <c r="I20" s="15">
        <f t="shared" si="4"/>
        <v>0</v>
      </c>
      <c r="J20" s="15">
        <f t="shared" si="5"/>
        <v>0</v>
      </c>
    </row>
    <row r="21" spans="5:10" x14ac:dyDescent="0.3">
      <c r="E21" s="12">
        <f t="shared" si="0"/>
        <v>0</v>
      </c>
      <c r="F21" s="12">
        <f t="shared" si="1"/>
        <v>0</v>
      </c>
      <c r="G21" s="12">
        <f t="shared" si="2"/>
        <v>0</v>
      </c>
      <c r="H21" s="15">
        <f t="shared" si="3"/>
        <v>0</v>
      </c>
      <c r="I21" s="15">
        <f t="shared" si="4"/>
        <v>0</v>
      </c>
      <c r="J21" s="15">
        <f t="shared" si="5"/>
        <v>0</v>
      </c>
    </row>
    <row r="22" spans="5:10" x14ac:dyDescent="0.3">
      <c r="E22" s="12">
        <f t="shared" si="0"/>
        <v>0</v>
      </c>
      <c r="F22" s="12">
        <f t="shared" si="1"/>
        <v>0</v>
      </c>
      <c r="G22" s="12">
        <f t="shared" si="2"/>
        <v>0</v>
      </c>
      <c r="H22" s="15">
        <f t="shared" si="3"/>
        <v>0</v>
      </c>
      <c r="I22" s="15">
        <f t="shared" si="4"/>
        <v>0</v>
      </c>
      <c r="J22" s="15">
        <f t="shared" si="5"/>
        <v>0</v>
      </c>
    </row>
    <row r="23" spans="5:10" x14ac:dyDescent="0.3">
      <c r="E23" s="12">
        <f t="shared" si="0"/>
        <v>0</v>
      </c>
      <c r="F23" s="12">
        <f t="shared" si="1"/>
        <v>0</v>
      </c>
      <c r="G23" s="12">
        <f t="shared" si="2"/>
        <v>0</v>
      </c>
      <c r="H23" s="15">
        <f t="shared" si="3"/>
        <v>0</v>
      </c>
      <c r="I23" s="15">
        <f t="shared" si="4"/>
        <v>0</v>
      </c>
      <c r="J23" s="15">
        <f t="shared" si="5"/>
        <v>0</v>
      </c>
    </row>
    <row r="24" spans="5:10" x14ac:dyDescent="0.3">
      <c r="E24" s="12">
        <f t="shared" si="0"/>
        <v>0</v>
      </c>
      <c r="F24" s="12">
        <f t="shared" si="1"/>
        <v>0</v>
      </c>
      <c r="G24" s="12">
        <f t="shared" si="2"/>
        <v>0</v>
      </c>
      <c r="H24" s="15">
        <f t="shared" si="3"/>
        <v>0</v>
      </c>
      <c r="I24" s="15">
        <f t="shared" si="4"/>
        <v>0</v>
      </c>
      <c r="J24" s="15">
        <f t="shared" si="5"/>
        <v>0</v>
      </c>
    </row>
    <row r="25" spans="5:10" x14ac:dyDescent="0.3">
      <c r="E25" s="12">
        <f t="shared" si="0"/>
        <v>0</v>
      </c>
      <c r="F25" s="12">
        <f t="shared" si="1"/>
        <v>0</v>
      </c>
      <c r="G25" s="12">
        <f t="shared" si="2"/>
        <v>0</v>
      </c>
      <c r="H25" s="15">
        <f t="shared" si="3"/>
        <v>0</v>
      </c>
      <c r="I25" s="15">
        <f t="shared" si="4"/>
        <v>0</v>
      </c>
      <c r="J25" s="15">
        <f t="shared" si="5"/>
        <v>0</v>
      </c>
    </row>
    <row r="26" spans="5:10" x14ac:dyDescent="0.3">
      <c r="E26" s="12">
        <f t="shared" si="0"/>
        <v>0</v>
      </c>
      <c r="F26" s="12">
        <f t="shared" si="1"/>
        <v>0</v>
      </c>
      <c r="G26" s="12">
        <f t="shared" si="2"/>
        <v>0</v>
      </c>
      <c r="H26" s="15">
        <f t="shared" si="3"/>
        <v>0</v>
      </c>
      <c r="I26" s="15">
        <f t="shared" si="4"/>
        <v>0</v>
      </c>
      <c r="J26" s="15">
        <f t="shared" si="5"/>
        <v>0</v>
      </c>
    </row>
    <row r="27" spans="5:10" x14ac:dyDescent="0.3">
      <c r="E27" s="12">
        <f t="shared" si="0"/>
        <v>0</v>
      </c>
      <c r="F27" s="12">
        <f t="shared" si="1"/>
        <v>0</v>
      </c>
      <c r="G27" s="12">
        <f t="shared" si="2"/>
        <v>0</v>
      </c>
      <c r="H27" s="15">
        <f t="shared" si="3"/>
        <v>0</v>
      </c>
      <c r="I27" s="15">
        <f t="shared" si="4"/>
        <v>0</v>
      </c>
      <c r="J27" s="15">
        <f t="shared" si="5"/>
        <v>0</v>
      </c>
    </row>
    <row r="28" spans="5:10" x14ac:dyDescent="0.3">
      <c r="E28" s="12">
        <f t="shared" si="0"/>
        <v>0</v>
      </c>
      <c r="F28" s="12">
        <f t="shared" si="1"/>
        <v>0</v>
      </c>
      <c r="G28" s="12">
        <f t="shared" si="2"/>
        <v>0</v>
      </c>
      <c r="H28" s="15">
        <f t="shared" si="3"/>
        <v>0</v>
      </c>
      <c r="I28" s="15">
        <f t="shared" si="4"/>
        <v>0</v>
      </c>
      <c r="J28" s="15">
        <f t="shared" si="5"/>
        <v>0</v>
      </c>
    </row>
    <row r="29" spans="5:10" x14ac:dyDescent="0.3">
      <c r="E29" s="12">
        <f t="shared" si="0"/>
        <v>0</v>
      </c>
      <c r="F29" s="12">
        <f t="shared" si="1"/>
        <v>0</v>
      </c>
      <c r="G29" s="12">
        <f t="shared" si="2"/>
        <v>0</v>
      </c>
      <c r="H29" s="15">
        <f t="shared" si="3"/>
        <v>0</v>
      </c>
      <c r="I29" s="15">
        <f t="shared" si="4"/>
        <v>0</v>
      </c>
      <c r="J29" s="15">
        <f t="shared" si="5"/>
        <v>0</v>
      </c>
    </row>
    <row r="30" spans="5:10" x14ac:dyDescent="0.3">
      <c r="E30" s="12">
        <f t="shared" si="0"/>
        <v>0</v>
      </c>
      <c r="F30" s="12">
        <f t="shared" si="1"/>
        <v>0</v>
      </c>
      <c r="G30" s="12">
        <f t="shared" si="2"/>
        <v>0</v>
      </c>
      <c r="H30" s="15">
        <f t="shared" si="3"/>
        <v>0</v>
      </c>
      <c r="I30" s="15">
        <f t="shared" si="4"/>
        <v>0</v>
      </c>
      <c r="J30" s="15">
        <f t="shared" si="5"/>
        <v>0</v>
      </c>
    </row>
    <row r="31" spans="5:10" x14ac:dyDescent="0.3">
      <c r="E31" s="12">
        <f t="shared" si="0"/>
        <v>0</v>
      </c>
      <c r="F31" s="12">
        <f t="shared" si="1"/>
        <v>0</v>
      </c>
      <c r="G31" s="12">
        <f t="shared" si="2"/>
        <v>0</v>
      </c>
      <c r="H31" s="15">
        <f t="shared" si="3"/>
        <v>0</v>
      </c>
      <c r="I31" s="15">
        <f t="shared" si="4"/>
        <v>0</v>
      </c>
      <c r="J31" s="15">
        <f t="shared" si="5"/>
        <v>0</v>
      </c>
    </row>
    <row r="32" spans="5:10" x14ac:dyDescent="0.3">
      <c r="E32" s="12">
        <f t="shared" si="0"/>
        <v>0</v>
      </c>
      <c r="F32" s="12">
        <f t="shared" si="1"/>
        <v>0</v>
      </c>
      <c r="G32" s="12">
        <f t="shared" si="2"/>
        <v>0</v>
      </c>
      <c r="H32" s="15">
        <f t="shared" si="3"/>
        <v>0</v>
      </c>
      <c r="I32" s="15">
        <f t="shared" si="4"/>
        <v>0</v>
      </c>
      <c r="J32" s="15">
        <f t="shared" si="5"/>
        <v>0</v>
      </c>
    </row>
    <row r="33" spans="5:10" x14ac:dyDescent="0.3">
      <c r="E33" s="12">
        <f t="shared" si="0"/>
        <v>0</v>
      </c>
      <c r="F33" s="12">
        <f t="shared" si="1"/>
        <v>0</v>
      </c>
      <c r="G33" s="12">
        <f t="shared" si="2"/>
        <v>0</v>
      </c>
      <c r="H33" s="15">
        <f t="shared" si="3"/>
        <v>0</v>
      </c>
      <c r="I33" s="15">
        <f t="shared" si="4"/>
        <v>0</v>
      </c>
      <c r="J33" s="15">
        <f t="shared" si="5"/>
        <v>0</v>
      </c>
    </row>
    <row r="34" spans="5:10" x14ac:dyDescent="0.3">
      <c r="E34" s="12">
        <f t="shared" si="0"/>
        <v>0</v>
      </c>
      <c r="F34" s="12">
        <f t="shared" si="1"/>
        <v>0</v>
      </c>
      <c r="G34" s="12">
        <f t="shared" si="2"/>
        <v>0</v>
      </c>
      <c r="H34" s="15">
        <f t="shared" si="3"/>
        <v>0</v>
      </c>
      <c r="I34" s="15">
        <f t="shared" si="4"/>
        <v>0</v>
      </c>
      <c r="J34" s="15">
        <f t="shared" si="5"/>
        <v>0</v>
      </c>
    </row>
    <row r="35" spans="5:10" x14ac:dyDescent="0.3">
      <c r="E35" s="12">
        <f t="shared" si="0"/>
        <v>0</v>
      </c>
      <c r="F35" s="12">
        <f t="shared" si="1"/>
        <v>0</v>
      </c>
      <c r="G35" s="12">
        <f t="shared" si="2"/>
        <v>0</v>
      </c>
      <c r="H35" s="15">
        <f t="shared" si="3"/>
        <v>0</v>
      </c>
      <c r="I35" s="15">
        <f t="shared" si="4"/>
        <v>0</v>
      </c>
      <c r="J35" s="15">
        <f t="shared" si="5"/>
        <v>0</v>
      </c>
    </row>
    <row r="36" spans="5:10" x14ac:dyDescent="0.3">
      <c r="E36" s="12">
        <f t="shared" si="0"/>
        <v>0</v>
      </c>
      <c r="F36" s="12">
        <f t="shared" si="1"/>
        <v>0</v>
      </c>
      <c r="G36" s="12">
        <f t="shared" si="2"/>
        <v>0</v>
      </c>
      <c r="H36" s="15">
        <f t="shared" si="3"/>
        <v>0</v>
      </c>
      <c r="I36" s="15">
        <f t="shared" si="4"/>
        <v>0</v>
      </c>
      <c r="J36" s="15">
        <f t="shared" si="5"/>
        <v>0</v>
      </c>
    </row>
    <row r="37" spans="5:10" x14ac:dyDescent="0.3">
      <c r="E37" s="12">
        <f t="shared" si="0"/>
        <v>0</v>
      </c>
      <c r="F37" s="12">
        <f t="shared" si="1"/>
        <v>0</v>
      </c>
      <c r="G37" s="12">
        <f t="shared" si="2"/>
        <v>0</v>
      </c>
      <c r="H37" s="15">
        <f t="shared" si="3"/>
        <v>0</v>
      </c>
      <c r="I37" s="15">
        <f t="shared" si="4"/>
        <v>0</v>
      </c>
      <c r="J37" s="15">
        <f t="shared" si="5"/>
        <v>0</v>
      </c>
    </row>
    <row r="38" spans="5:10" x14ac:dyDescent="0.3">
      <c r="E38" s="12">
        <f t="shared" si="0"/>
        <v>0</v>
      </c>
      <c r="F38" s="12">
        <f t="shared" si="1"/>
        <v>0</v>
      </c>
      <c r="G38" s="12">
        <f t="shared" si="2"/>
        <v>0</v>
      </c>
      <c r="H38" s="15">
        <f t="shared" si="3"/>
        <v>0</v>
      </c>
      <c r="I38" s="15">
        <f t="shared" si="4"/>
        <v>0</v>
      </c>
      <c r="J38" s="15">
        <f t="shared" si="5"/>
        <v>0</v>
      </c>
    </row>
    <row r="39" spans="5:10" x14ac:dyDescent="0.3">
      <c r="E39" s="12">
        <f t="shared" si="0"/>
        <v>0</v>
      </c>
      <c r="F39" s="12">
        <f t="shared" si="1"/>
        <v>0</v>
      </c>
      <c r="G39" s="12">
        <f t="shared" si="2"/>
        <v>0</v>
      </c>
      <c r="H39" s="15">
        <f t="shared" si="3"/>
        <v>0</v>
      </c>
      <c r="I39" s="15">
        <f t="shared" si="4"/>
        <v>0</v>
      </c>
      <c r="J39" s="15">
        <f t="shared" si="5"/>
        <v>0</v>
      </c>
    </row>
    <row r="40" spans="5:10" x14ac:dyDescent="0.3">
      <c r="E40" s="12">
        <f t="shared" si="0"/>
        <v>0</v>
      </c>
      <c r="F40" s="12">
        <f t="shared" si="1"/>
        <v>0</v>
      </c>
      <c r="G40" s="12">
        <f t="shared" si="2"/>
        <v>0</v>
      </c>
      <c r="H40" s="15">
        <f t="shared" si="3"/>
        <v>0</v>
      </c>
      <c r="I40" s="15">
        <f t="shared" si="4"/>
        <v>0</v>
      </c>
      <c r="J40" s="15">
        <f t="shared" si="5"/>
        <v>0</v>
      </c>
    </row>
    <row r="41" spans="5:10" x14ac:dyDescent="0.3">
      <c r="E41" s="12">
        <f t="shared" si="0"/>
        <v>0</v>
      </c>
      <c r="F41" s="12">
        <f t="shared" si="1"/>
        <v>0</v>
      </c>
      <c r="G41" s="12">
        <f t="shared" si="2"/>
        <v>0</v>
      </c>
      <c r="H41" s="15">
        <f t="shared" si="3"/>
        <v>0</v>
      </c>
      <c r="I41" s="15">
        <f t="shared" si="4"/>
        <v>0</v>
      </c>
      <c r="J41" s="15">
        <f t="shared" si="5"/>
        <v>0</v>
      </c>
    </row>
    <row r="42" spans="5:10" x14ac:dyDescent="0.3">
      <c r="E42" s="12">
        <f t="shared" ref="E42:E105" si="6">C42*1.15</f>
        <v>0</v>
      </c>
      <c r="F42" s="12">
        <f t="shared" ref="F42:F105" si="7">C42*1.25</f>
        <v>0</v>
      </c>
      <c r="G42" s="12">
        <f t="shared" ref="G42:G105" si="8">C42*1.3</f>
        <v>0</v>
      </c>
      <c r="H42" s="15">
        <f t="shared" si="3"/>
        <v>0</v>
      </c>
      <c r="I42" s="15">
        <f t="shared" si="4"/>
        <v>0</v>
      </c>
      <c r="J42" s="15">
        <f t="shared" si="5"/>
        <v>0</v>
      </c>
    </row>
    <row r="43" spans="5:10" x14ac:dyDescent="0.3">
      <c r="E43" s="12">
        <f t="shared" si="6"/>
        <v>0</v>
      </c>
      <c r="F43" s="12">
        <f t="shared" si="7"/>
        <v>0</v>
      </c>
      <c r="G43" s="12">
        <f t="shared" si="8"/>
        <v>0</v>
      </c>
      <c r="H43" s="15">
        <f t="shared" si="3"/>
        <v>0</v>
      </c>
      <c r="I43" s="15">
        <f t="shared" si="4"/>
        <v>0</v>
      </c>
      <c r="J43" s="15">
        <f t="shared" si="5"/>
        <v>0</v>
      </c>
    </row>
    <row r="44" spans="5:10" x14ac:dyDescent="0.3">
      <c r="E44" s="12">
        <f t="shared" si="6"/>
        <v>0</v>
      </c>
      <c r="F44" s="12">
        <f t="shared" si="7"/>
        <v>0</v>
      </c>
      <c r="G44" s="12">
        <f t="shared" si="8"/>
        <v>0</v>
      </c>
      <c r="H44" s="15">
        <f t="shared" si="3"/>
        <v>0</v>
      </c>
      <c r="I44" s="15">
        <f t="shared" si="4"/>
        <v>0</v>
      </c>
      <c r="J44" s="15">
        <f t="shared" si="5"/>
        <v>0</v>
      </c>
    </row>
    <row r="45" spans="5:10" x14ac:dyDescent="0.3">
      <c r="E45" s="12">
        <f t="shared" si="6"/>
        <v>0</v>
      </c>
      <c r="F45" s="12">
        <f t="shared" si="7"/>
        <v>0</v>
      </c>
      <c r="G45" s="12">
        <f t="shared" si="8"/>
        <v>0</v>
      </c>
      <c r="H45" s="15">
        <f t="shared" si="3"/>
        <v>0</v>
      </c>
      <c r="I45" s="15">
        <f t="shared" si="4"/>
        <v>0</v>
      </c>
      <c r="J45" s="15">
        <f t="shared" si="5"/>
        <v>0</v>
      </c>
    </row>
    <row r="46" spans="5:10" x14ac:dyDescent="0.3">
      <c r="E46" s="12">
        <f t="shared" si="6"/>
        <v>0</v>
      </c>
      <c r="F46" s="12">
        <f t="shared" si="7"/>
        <v>0</v>
      </c>
      <c r="G46" s="12">
        <f t="shared" si="8"/>
        <v>0</v>
      </c>
      <c r="H46" s="15">
        <f t="shared" si="3"/>
        <v>0</v>
      </c>
      <c r="I46" s="15">
        <f t="shared" si="4"/>
        <v>0</v>
      </c>
      <c r="J46" s="15">
        <f t="shared" si="5"/>
        <v>0</v>
      </c>
    </row>
    <row r="47" spans="5:10" x14ac:dyDescent="0.3">
      <c r="E47" s="12">
        <f t="shared" si="6"/>
        <v>0</v>
      </c>
      <c r="F47" s="12">
        <f t="shared" si="7"/>
        <v>0</v>
      </c>
      <c r="G47" s="12">
        <f t="shared" si="8"/>
        <v>0</v>
      </c>
      <c r="H47" s="15">
        <f t="shared" si="3"/>
        <v>0</v>
      </c>
      <c r="I47" s="15">
        <f t="shared" si="4"/>
        <v>0</v>
      </c>
      <c r="J47" s="15">
        <f t="shared" si="5"/>
        <v>0</v>
      </c>
    </row>
    <row r="48" spans="5:10" x14ac:dyDescent="0.3">
      <c r="E48" s="12">
        <f t="shared" si="6"/>
        <v>0</v>
      </c>
      <c r="F48" s="12">
        <f t="shared" si="7"/>
        <v>0</v>
      </c>
      <c r="G48" s="12">
        <f t="shared" si="8"/>
        <v>0</v>
      </c>
      <c r="H48" s="15">
        <f t="shared" si="3"/>
        <v>0</v>
      </c>
      <c r="I48" s="15">
        <f t="shared" si="4"/>
        <v>0</v>
      </c>
      <c r="J48" s="15">
        <f t="shared" si="5"/>
        <v>0</v>
      </c>
    </row>
    <row r="49" spans="5:10" x14ac:dyDescent="0.3">
      <c r="E49" s="12">
        <f t="shared" si="6"/>
        <v>0</v>
      </c>
      <c r="F49" s="12">
        <f t="shared" si="7"/>
        <v>0</v>
      </c>
      <c r="G49" s="12">
        <f t="shared" si="8"/>
        <v>0</v>
      </c>
      <c r="H49" s="15">
        <f t="shared" si="3"/>
        <v>0</v>
      </c>
      <c r="I49" s="15">
        <f t="shared" si="4"/>
        <v>0</v>
      </c>
      <c r="J49" s="15">
        <f t="shared" si="5"/>
        <v>0</v>
      </c>
    </row>
    <row r="50" spans="5:10" x14ac:dyDescent="0.3">
      <c r="E50" s="12">
        <f t="shared" si="6"/>
        <v>0</v>
      </c>
      <c r="F50" s="12">
        <f t="shared" si="7"/>
        <v>0</v>
      </c>
      <c r="G50" s="12">
        <f t="shared" si="8"/>
        <v>0</v>
      </c>
      <c r="H50" s="15">
        <f t="shared" si="3"/>
        <v>0</v>
      </c>
      <c r="I50" s="15">
        <f t="shared" si="4"/>
        <v>0</v>
      </c>
      <c r="J50" s="15">
        <f t="shared" si="5"/>
        <v>0</v>
      </c>
    </row>
    <row r="51" spans="5:10" x14ac:dyDescent="0.3">
      <c r="E51" s="12">
        <f t="shared" si="6"/>
        <v>0</v>
      </c>
      <c r="F51" s="12">
        <f t="shared" si="7"/>
        <v>0</v>
      </c>
      <c r="G51" s="12">
        <f t="shared" si="8"/>
        <v>0</v>
      </c>
      <c r="H51" s="15">
        <f t="shared" si="3"/>
        <v>0</v>
      </c>
      <c r="I51" s="15">
        <f t="shared" si="4"/>
        <v>0</v>
      </c>
      <c r="J51" s="15">
        <f t="shared" si="5"/>
        <v>0</v>
      </c>
    </row>
    <row r="52" spans="5:10" x14ac:dyDescent="0.3">
      <c r="E52" s="12">
        <f t="shared" si="6"/>
        <v>0</v>
      </c>
      <c r="F52" s="12">
        <f t="shared" si="7"/>
        <v>0</v>
      </c>
      <c r="G52" s="12">
        <f t="shared" si="8"/>
        <v>0</v>
      </c>
      <c r="H52" s="15">
        <f t="shared" si="3"/>
        <v>0</v>
      </c>
      <c r="I52" s="15">
        <f t="shared" si="4"/>
        <v>0</v>
      </c>
      <c r="J52" s="15">
        <f t="shared" si="5"/>
        <v>0</v>
      </c>
    </row>
    <row r="53" spans="5:10" x14ac:dyDescent="0.3">
      <c r="E53" s="12">
        <f t="shared" si="6"/>
        <v>0</v>
      </c>
      <c r="F53" s="12">
        <f t="shared" si="7"/>
        <v>0</v>
      </c>
      <c r="G53" s="12">
        <f t="shared" si="8"/>
        <v>0</v>
      </c>
      <c r="H53" s="15">
        <f t="shared" si="3"/>
        <v>0</v>
      </c>
      <c r="I53" s="15">
        <f t="shared" si="4"/>
        <v>0</v>
      </c>
      <c r="J53" s="15">
        <f t="shared" si="5"/>
        <v>0</v>
      </c>
    </row>
    <row r="54" spans="5:10" x14ac:dyDescent="0.3">
      <c r="E54" s="12">
        <f t="shared" si="6"/>
        <v>0</v>
      </c>
      <c r="F54" s="12">
        <f t="shared" si="7"/>
        <v>0</v>
      </c>
      <c r="G54" s="12">
        <f t="shared" si="8"/>
        <v>0</v>
      </c>
      <c r="H54" s="15">
        <f t="shared" si="3"/>
        <v>0</v>
      </c>
      <c r="I54" s="15">
        <f t="shared" si="4"/>
        <v>0</v>
      </c>
      <c r="J54" s="15">
        <f t="shared" si="5"/>
        <v>0</v>
      </c>
    </row>
    <row r="55" spans="5:10" x14ac:dyDescent="0.3">
      <c r="E55" s="12">
        <f t="shared" si="6"/>
        <v>0</v>
      </c>
      <c r="F55" s="12">
        <f t="shared" si="7"/>
        <v>0</v>
      </c>
      <c r="G55" s="12">
        <f t="shared" si="8"/>
        <v>0</v>
      </c>
      <c r="H55" s="15">
        <f t="shared" si="3"/>
        <v>0</v>
      </c>
      <c r="I55" s="15">
        <f t="shared" si="4"/>
        <v>0</v>
      </c>
      <c r="J55" s="15">
        <f t="shared" si="5"/>
        <v>0</v>
      </c>
    </row>
    <row r="56" spans="5:10" x14ac:dyDescent="0.3">
      <c r="E56" s="12">
        <f t="shared" si="6"/>
        <v>0</v>
      </c>
      <c r="F56" s="12">
        <f t="shared" si="7"/>
        <v>0</v>
      </c>
      <c r="G56" s="12">
        <f t="shared" si="8"/>
        <v>0</v>
      </c>
      <c r="H56" s="15">
        <f t="shared" si="3"/>
        <v>0</v>
      </c>
      <c r="I56" s="15">
        <f t="shared" si="4"/>
        <v>0</v>
      </c>
      <c r="J56" s="15">
        <f t="shared" si="5"/>
        <v>0</v>
      </c>
    </row>
    <row r="57" spans="5:10" x14ac:dyDescent="0.3">
      <c r="E57" s="12">
        <f t="shared" si="6"/>
        <v>0</v>
      </c>
      <c r="F57" s="12">
        <f t="shared" si="7"/>
        <v>0</v>
      </c>
      <c r="G57" s="12">
        <f t="shared" si="8"/>
        <v>0</v>
      </c>
      <c r="H57" s="15">
        <f t="shared" si="3"/>
        <v>0</v>
      </c>
      <c r="I57" s="15">
        <f t="shared" si="4"/>
        <v>0</v>
      </c>
      <c r="J57" s="15">
        <f t="shared" si="5"/>
        <v>0</v>
      </c>
    </row>
    <row r="58" spans="5:10" x14ac:dyDescent="0.3">
      <c r="E58" s="12">
        <f t="shared" si="6"/>
        <v>0</v>
      </c>
      <c r="F58" s="12">
        <f t="shared" si="7"/>
        <v>0</v>
      </c>
      <c r="G58" s="12">
        <f t="shared" si="8"/>
        <v>0</v>
      </c>
      <c r="H58" s="15">
        <f t="shared" si="3"/>
        <v>0</v>
      </c>
      <c r="I58" s="15">
        <f t="shared" si="4"/>
        <v>0</v>
      </c>
      <c r="J58" s="15">
        <f t="shared" si="5"/>
        <v>0</v>
      </c>
    </row>
    <row r="59" spans="5:10" x14ac:dyDescent="0.3">
      <c r="E59" s="12">
        <f t="shared" si="6"/>
        <v>0</v>
      </c>
      <c r="F59" s="12">
        <f t="shared" si="7"/>
        <v>0</v>
      </c>
      <c r="G59" s="12">
        <f t="shared" si="8"/>
        <v>0</v>
      </c>
      <c r="H59" s="15">
        <f t="shared" si="3"/>
        <v>0</v>
      </c>
      <c r="I59" s="15">
        <f t="shared" si="4"/>
        <v>0</v>
      </c>
      <c r="J59" s="15">
        <f t="shared" si="5"/>
        <v>0</v>
      </c>
    </row>
    <row r="60" spans="5:10" x14ac:dyDescent="0.3">
      <c r="E60" s="12">
        <f t="shared" si="6"/>
        <v>0</v>
      </c>
      <c r="F60" s="12">
        <f t="shared" si="7"/>
        <v>0</v>
      </c>
      <c r="G60" s="12">
        <f t="shared" si="8"/>
        <v>0</v>
      </c>
      <c r="H60" s="15">
        <f t="shared" si="3"/>
        <v>0</v>
      </c>
      <c r="I60" s="15">
        <f t="shared" si="4"/>
        <v>0</v>
      </c>
      <c r="J60" s="15">
        <f t="shared" si="5"/>
        <v>0</v>
      </c>
    </row>
    <row r="61" spans="5:10" x14ac:dyDescent="0.3">
      <c r="E61" s="12">
        <f t="shared" si="6"/>
        <v>0</v>
      </c>
      <c r="F61" s="12">
        <f t="shared" si="7"/>
        <v>0</v>
      </c>
      <c r="G61" s="12">
        <f t="shared" si="8"/>
        <v>0</v>
      </c>
      <c r="H61" s="15">
        <f t="shared" si="3"/>
        <v>0</v>
      </c>
      <c r="I61" s="15">
        <f t="shared" si="4"/>
        <v>0</v>
      </c>
      <c r="J61" s="15">
        <f t="shared" si="5"/>
        <v>0</v>
      </c>
    </row>
    <row r="62" spans="5:10" x14ac:dyDescent="0.3">
      <c r="E62" s="12">
        <f t="shared" si="6"/>
        <v>0</v>
      </c>
      <c r="F62" s="12">
        <f t="shared" si="7"/>
        <v>0</v>
      </c>
      <c r="G62" s="12">
        <f t="shared" si="8"/>
        <v>0</v>
      </c>
      <c r="H62" s="15">
        <f t="shared" si="3"/>
        <v>0</v>
      </c>
      <c r="I62" s="15">
        <f t="shared" si="4"/>
        <v>0</v>
      </c>
      <c r="J62" s="15">
        <f t="shared" si="5"/>
        <v>0</v>
      </c>
    </row>
    <row r="63" spans="5:10" x14ac:dyDescent="0.3">
      <c r="E63" s="12">
        <f t="shared" si="6"/>
        <v>0</v>
      </c>
      <c r="F63" s="12">
        <f t="shared" si="7"/>
        <v>0</v>
      </c>
      <c r="G63" s="12">
        <f t="shared" si="8"/>
        <v>0</v>
      </c>
      <c r="H63" s="15">
        <f t="shared" si="3"/>
        <v>0</v>
      </c>
      <c r="I63" s="15">
        <f t="shared" si="4"/>
        <v>0</v>
      </c>
      <c r="J63" s="15">
        <f t="shared" si="5"/>
        <v>0</v>
      </c>
    </row>
    <row r="64" spans="5:10" x14ac:dyDescent="0.3">
      <c r="E64" s="12">
        <f t="shared" si="6"/>
        <v>0</v>
      </c>
      <c r="F64" s="12">
        <f t="shared" si="7"/>
        <v>0</v>
      </c>
      <c r="G64" s="12">
        <f t="shared" si="8"/>
        <v>0</v>
      </c>
      <c r="H64" s="15">
        <f t="shared" si="3"/>
        <v>0</v>
      </c>
      <c r="I64" s="15">
        <f t="shared" si="4"/>
        <v>0</v>
      </c>
      <c r="J64" s="15">
        <f t="shared" si="5"/>
        <v>0</v>
      </c>
    </row>
    <row r="65" spans="5:10" x14ac:dyDescent="0.3">
      <c r="E65" s="12">
        <f t="shared" si="6"/>
        <v>0</v>
      </c>
      <c r="F65" s="12">
        <f t="shared" si="7"/>
        <v>0</v>
      </c>
      <c r="G65" s="12">
        <f t="shared" si="8"/>
        <v>0</v>
      </c>
      <c r="H65" s="15">
        <f t="shared" si="3"/>
        <v>0</v>
      </c>
      <c r="I65" s="15">
        <f t="shared" si="4"/>
        <v>0</v>
      </c>
      <c r="J65" s="15">
        <f t="shared" si="5"/>
        <v>0</v>
      </c>
    </row>
    <row r="66" spans="5:10" x14ac:dyDescent="0.3">
      <c r="E66" s="12">
        <f t="shared" si="6"/>
        <v>0</v>
      </c>
      <c r="F66" s="12">
        <f t="shared" si="7"/>
        <v>0</v>
      </c>
      <c r="G66" s="12">
        <f t="shared" si="8"/>
        <v>0</v>
      </c>
      <c r="H66" s="15">
        <f t="shared" si="3"/>
        <v>0</v>
      </c>
      <c r="I66" s="15">
        <f t="shared" si="4"/>
        <v>0</v>
      </c>
      <c r="J66" s="15">
        <f t="shared" si="5"/>
        <v>0</v>
      </c>
    </row>
    <row r="67" spans="5:10" x14ac:dyDescent="0.3">
      <c r="E67" s="12">
        <f t="shared" si="6"/>
        <v>0</v>
      </c>
      <c r="F67" s="12">
        <f t="shared" si="7"/>
        <v>0</v>
      </c>
      <c r="G67" s="12">
        <f t="shared" si="8"/>
        <v>0</v>
      </c>
      <c r="H67" s="15">
        <f t="shared" ref="H67:H130" si="9">E67*1.21</f>
        <v>0</v>
      </c>
      <c r="I67" s="15">
        <f t="shared" ref="I67:I130" si="10">F67*1.21</f>
        <v>0</v>
      </c>
      <c r="J67" s="15">
        <f t="shared" ref="J67:J130" si="11">G67*1.21</f>
        <v>0</v>
      </c>
    </row>
    <row r="68" spans="5:10" x14ac:dyDescent="0.3">
      <c r="E68" s="12">
        <f t="shared" si="6"/>
        <v>0</v>
      </c>
      <c r="F68" s="12">
        <f t="shared" si="7"/>
        <v>0</v>
      </c>
      <c r="G68" s="12">
        <f t="shared" si="8"/>
        <v>0</v>
      </c>
      <c r="H68" s="15">
        <f t="shared" si="9"/>
        <v>0</v>
      </c>
      <c r="I68" s="15">
        <f t="shared" si="10"/>
        <v>0</v>
      </c>
      <c r="J68" s="15">
        <f t="shared" si="11"/>
        <v>0</v>
      </c>
    </row>
    <row r="69" spans="5:10" x14ac:dyDescent="0.3">
      <c r="E69" s="12">
        <f t="shared" si="6"/>
        <v>0</v>
      </c>
      <c r="F69" s="12">
        <f t="shared" si="7"/>
        <v>0</v>
      </c>
      <c r="G69" s="12">
        <f t="shared" si="8"/>
        <v>0</v>
      </c>
      <c r="H69" s="15">
        <f t="shared" si="9"/>
        <v>0</v>
      </c>
      <c r="I69" s="15">
        <f t="shared" si="10"/>
        <v>0</v>
      </c>
      <c r="J69" s="15">
        <f t="shared" si="11"/>
        <v>0</v>
      </c>
    </row>
    <row r="70" spans="5:10" x14ac:dyDescent="0.3">
      <c r="E70" s="12">
        <f t="shared" si="6"/>
        <v>0</v>
      </c>
      <c r="F70" s="12">
        <f t="shared" si="7"/>
        <v>0</v>
      </c>
      <c r="G70" s="12">
        <f t="shared" si="8"/>
        <v>0</v>
      </c>
      <c r="H70" s="15">
        <f t="shared" si="9"/>
        <v>0</v>
      </c>
      <c r="I70" s="15">
        <f t="shared" si="10"/>
        <v>0</v>
      </c>
      <c r="J70" s="15">
        <f t="shared" si="11"/>
        <v>0</v>
      </c>
    </row>
    <row r="71" spans="5:10" x14ac:dyDescent="0.3">
      <c r="E71" s="12">
        <f t="shared" si="6"/>
        <v>0</v>
      </c>
      <c r="F71" s="12">
        <f t="shared" si="7"/>
        <v>0</v>
      </c>
      <c r="G71" s="12">
        <f t="shared" si="8"/>
        <v>0</v>
      </c>
      <c r="H71" s="15">
        <f t="shared" si="9"/>
        <v>0</v>
      </c>
      <c r="I71" s="15">
        <f t="shared" si="10"/>
        <v>0</v>
      </c>
      <c r="J71" s="15">
        <f t="shared" si="11"/>
        <v>0</v>
      </c>
    </row>
    <row r="72" spans="5:10" x14ac:dyDescent="0.3">
      <c r="E72" s="12">
        <f t="shared" si="6"/>
        <v>0</v>
      </c>
      <c r="F72" s="12">
        <f t="shared" si="7"/>
        <v>0</v>
      </c>
      <c r="G72" s="12">
        <f t="shared" si="8"/>
        <v>0</v>
      </c>
      <c r="H72" s="15">
        <f t="shared" si="9"/>
        <v>0</v>
      </c>
      <c r="I72" s="15">
        <f t="shared" si="10"/>
        <v>0</v>
      </c>
      <c r="J72" s="15">
        <f t="shared" si="11"/>
        <v>0</v>
      </c>
    </row>
    <row r="73" spans="5:10" x14ac:dyDescent="0.3">
      <c r="E73" s="12">
        <f t="shared" si="6"/>
        <v>0</v>
      </c>
      <c r="F73" s="12">
        <f t="shared" si="7"/>
        <v>0</v>
      </c>
      <c r="G73" s="12">
        <f t="shared" si="8"/>
        <v>0</v>
      </c>
      <c r="H73" s="15">
        <f t="shared" si="9"/>
        <v>0</v>
      </c>
      <c r="I73" s="15">
        <f t="shared" si="10"/>
        <v>0</v>
      </c>
      <c r="J73" s="15">
        <f t="shared" si="11"/>
        <v>0</v>
      </c>
    </row>
    <row r="74" spans="5:10" x14ac:dyDescent="0.3">
      <c r="E74" s="12">
        <f t="shared" si="6"/>
        <v>0</v>
      </c>
      <c r="F74" s="12">
        <f t="shared" si="7"/>
        <v>0</v>
      </c>
      <c r="G74" s="12">
        <f t="shared" si="8"/>
        <v>0</v>
      </c>
      <c r="H74" s="15">
        <f t="shared" si="9"/>
        <v>0</v>
      </c>
      <c r="I74" s="15">
        <f t="shared" si="10"/>
        <v>0</v>
      </c>
      <c r="J74" s="15">
        <f t="shared" si="11"/>
        <v>0</v>
      </c>
    </row>
    <row r="75" spans="5:10" x14ac:dyDescent="0.3">
      <c r="E75" s="12">
        <f t="shared" si="6"/>
        <v>0</v>
      </c>
      <c r="F75" s="12">
        <f t="shared" si="7"/>
        <v>0</v>
      </c>
      <c r="G75" s="12">
        <f t="shared" si="8"/>
        <v>0</v>
      </c>
      <c r="H75" s="15">
        <f t="shared" si="9"/>
        <v>0</v>
      </c>
      <c r="I75" s="15">
        <f t="shared" si="10"/>
        <v>0</v>
      </c>
      <c r="J75" s="15">
        <f t="shared" si="11"/>
        <v>0</v>
      </c>
    </row>
    <row r="76" spans="5:10" x14ac:dyDescent="0.3">
      <c r="E76" s="12">
        <f t="shared" si="6"/>
        <v>0</v>
      </c>
      <c r="F76" s="12">
        <f t="shared" si="7"/>
        <v>0</v>
      </c>
      <c r="G76" s="12">
        <f t="shared" si="8"/>
        <v>0</v>
      </c>
      <c r="H76" s="15">
        <f t="shared" si="9"/>
        <v>0</v>
      </c>
      <c r="I76" s="15">
        <f t="shared" si="10"/>
        <v>0</v>
      </c>
      <c r="J76" s="15">
        <f t="shared" si="11"/>
        <v>0</v>
      </c>
    </row>
    <row r="77" spans="5:10" x14ac:dyDescent="0.3">
      <c r="E77" s="12">
        <f t="shared" si="6"/>
        <v>0</v>
      </c>
      <c r="F77" s="12">
        <f t="shared" si="7"/>
        <v>0</v>
      </c>
      <c r="G77" s="12">
        <f t="shared" si="8"/>
        <v>0</v>
      </c>
      <c r="H77" s="15">
        <f t="shared" si="9"/>
        <v>0</v>
      </c>
      <c r="I77" s="15">
        <f t="shared" si="10"/>
        <v>0</v>
      </c>
      <c r="J77" s="15">
        <f t="shared" si="11"/>
        <v>0</v>
      </c>
    </row>
    <row r="78" spans="5:10" x14ac:dyDescent="0.3">
      <c r="E78" s="12">
        <f t="shared" si="6"/>
        <v>0</v>
      </c>
      <c r="F78" s="12">
        <f t="shared" si="7"/>
        <v>0</v>
      </c>
      <c r="G78" s="12">
        <f t="shared" si="8"/>
        <v>0</v>
      </c>
      <c r="H78" s="15">
        <f t="shared" si="9"/>
        <v>0</v>
      </c>
      <c r="I78" s="15">
        <f t="shared" si="10"/>
        <v>0</v>
      </c>
      <c r="J78" s="15">
        <f t="shared" si="11"/>
        <v>0</v>
      </c>
    </row>
    <row r="79" spans="5:10" x14ac:dyDescent="0.3">
      <c r="E79" s="12">
        <f t="shared" si="6"/>
        <v>0</v>
      </c>
      <c r="F79" s="12">
        <f t="shared" si="7"/>
        <v>0</v>
      </c>
      <c r="G79" s="12">
        <f t="shared" si="8"/>
        <v>0</v>
      </c>
      <c r="H79" s="15">
        <f t="shared" si="9"/>
        <v>0</v>
      </c>
      <c r="I79" s="15">
        <f t="shared" si="10"/>
        <v>0</v>
      </c>
      <c r="J79" s="15">
        <f t="shared" si="11"/>
        <v>0</v>
      </c>
    </row>
    <row r="80" spans="5:10" x14ac:dyDescent="0.3">
      <c r="E80" s="12">
        <f t="shared" si="6"/>
        <v>0</v>
      </c>
      <c r="F80" s="12">
        <f t="shared" si="7"/>
        <v>0</v>
      </c>
      <c r="G80" s="12">
        <f t="shared" si="8"/>
        <v>0</v>
      </c>
      <c r="H80" s="15">
        <f t="shared" si="9"/>
        <v>0</v>
      </c>
      <c r="I80" s="15">
        <f t="shared" si="10"/>
        <v>0</v>
      </c>
      <c r="J80" s="15">
        <f t="shared" si="11"/>
        <v>0</v>
      </c>
    </row>
    <row r="81" spans="5:10" x14ac:dyDescent="0.3">
      <c r="E81" s="12">
        <f t="shared" si="6"/>
        <v>0</v>
      </c>
      <c r="F81" s="12">
        <f t="shared" si="7"/>
        <v>0</v>
      </c>
      <c r="G81" s="12">
        <f t="shared" si="8"/>
        <v>0</v>
      </c>
      <c r="H81" s="15">
        <f t="shared" si="9"/>
        <v>0</v>
      </c>
      <c r="I81" s="15">
        <f t="shared" si="10"/>
        <v>0</v>
      </c>
      <c r="J81" s="15">
        <f t="shared" si="11"/>
        <v>0</v>
      </c>
    </row>
    <row r="82" spans="5:10" x14ac:dyDescent="0.3">
      <c r="E82" s="12">
        <f t="shared" si="6"/>
        <v>0</v>
      </c>
      <c r="F82" s="12">
        <f t="shared" si="7"/>
        <v>0</v>
      </c>
      <c r="G82" s="12">
        <f t="shared" si="8"/>
        <v>0</v>
      </c>
      <c r="H82" s="15">
        <f t="shared" si="9"/>
        <v>0</v>
      </c>
      <c r="I82" s="15">
        <f t="shared" si="10"/>
        <v>0</v>
      </c>
      <c r="J82" s="15">
        <f t="shared" si="11"/>
        <v>0</v>
      </c>
    </row>
    <row r="83" spans="5:10" x14ac:dyDescent="0.3">
      <c r="E83" s="12">
        <f t="shared" si="6"/>
        <v>0</v>
      </c>
      <c r="F83" s="12">
        <f t="shared" si="7"/>
        <v>0</v>
      </c>
      <c r="G83" s="12">
        <f t="shared" si="8"/>
        <v>0</v>
      </c>
      <c r="H83" s="15">
        <f t="shared" si="9"/>
        <v>0</v>
      </c>
      <c r="I83" s="15">
        <f t="shared" si="10"/>
        <v>0</v>
      </c>
      <c r="J83" s="15">
        <f t="shared" si="11"/>
        <v>0</v>
      </c>
    </row>
    <row r="84" spans="5:10" x14ac:dyDescent="0.3">
      <c r="E84" s="12">
        <f t="shared" si="6"/>
        <v>0</v>
      </c>
      <c r="F84" s="12">
        <f t="shared" si="7"/>
        <v>0</v>
      </c>
      <c r="G84" s="12">
        <f t="shared" si="8"/>
        <v>0</v>
      </c>
      <c r="H84" s="15">
        <f t="shared" si="9"/>
        <v>0</v>
      </c>
      <c r="I84" s="15">
        <f t="shared" si="10"/>
        <v>0</v>
      </c>
      <c r="J84" s="15">
        <f t="shared" si="11"/>
        <v>0</v>
      </c>
    </row>
    <row r="85" spans="5:10" x14ac:dyDescent="0.3">
      <c r="E85" s="12">
        <f t="shared" si="6"/>
        <v>0</v>
      </c>
      <c r="F85" s="12">
        <f t="shared" si="7"/>
        <v>0</v>
      </c>
      <c r="G85" s="12">
        <f t="shared" si="8"/>
        <v>0</v>
      </c>
      <c r="H85" s="15">
        <f t="shared" si="9"/>
        <v>0</v>
      </c>
      <c r="I85" s="15">
        <f t="shared" si="10"/>
        <v>0</v>
      </c>
      <c r="J85" s="15">
        <f t="shared" si="11"/>
        <v>0</v>
      </c>
    </row>
    <row r="86" spans="5:10" x14ac:dyDescent="0.3">
      <c r="E86" s="12">
        <f t="shared" si="6"/>
        <v>0</v>
      </c>
      <c r="F86" s="12">
        <f t="shared" si="7"/>
        <v>0</v>
      </c>
      <c r="G86" s="12">
        <f t="shared" si="8"/>
        <v>0</v>
      </c>
      <c r="H86" s="15">
        <f t="shared" si="9"/>
        <v>0</v>
      </c>
      <c r="I86" s="15">
        <f t="shared" si="10"/>
        <v>0</v>
      </c>
      <c r="J86" s="15">
        <f t="shared" si="11"/>
        <v>0</v>
      </c>
    </row>
    <row r="87" spans="5:10" x14ac:dyDescent="0.3">
      <c r="E87" s="12">
        <f t="shared" si="6"/>
        <v>0</v>
      </c>
      <c r="F87" s="12">
        <f t="shared" si="7"/>
        <v>0</v>
      </c>
      <c r="G87" s="12">
        <f t="shared" si="8"/>
        <v>0</v>
      </c>
      <c r="H87" s="15">
        <f t="shared" si="9"/>
        <v>0</v>
      </c>
      <c r="I87" s="15">
        <f t="shared" si="10"/>
        <v>0</v>
      </c>
      <c r="J87" s="15">
        <f t="shared" si="11"/>
        <v>0</v>
      </c>
    </row>
    <row r="88" spans="5:10" x14ac:dyDescent="0.3">
      <c r="E88" s="12">
        <f t="shared" si="6"/>
        <v>0</v>
      </c>
      <c r="F88" s="12">
        <f t="shared" si="7"/>
        <v>0</v>
      </c>
      <c r="G88" s="12">
        <f t="shared" si="8"/>
        <v>0</v>
      </c>
      <c r="H88" s="15">
        <f t="shared" si="9"/>
        <v>0</v>
      </c>
      <c r="I88" s="15">
        <f t="shared" si="10"/>
        <v>0</v>
      </c>
      <c r="J88" s="15">
        <f t="shared" si="11"/>
        <v>0</v>
      </c>
    </row>
    <row r="89" spans="5:10" x14ac:dyDescent="0.3">
      <c r="E89" s="12">
        <f t="shared" si="6"/>
        <v>0</v>
      </c>
      <c r="F89" s="12">
        <f t="shared" si="7"/>
        <v>0</v>
      </c>
      <c r="G89" s="12">
        <f t="shared" si="8"/>
        <v>0</v>
      </c>
      <c r="H89" s="15">
        <f t="shared" si="9"/>
        <v>0</v>
      </c>
      <c r="I89" s="15">
        <f t="shared" si="10"/>
        <v>0</v>
      </c>
      <c r="J89" s="15">
        <f t="shared" si="11"/>
        <v>0</v>
      </c>
    </row>
    <row r="90" spans="5:10" x14ac:dyDescent="0.3">
      <c r="E90" s="12">
        <f t="shared" si="6"/>
        <v>0</v>
      </c>
      <c r="F90" s="12">
        <f t="shared" si="7"/>
        <v>0</v>
      </c>
      <c r="G90" s="12">
        <f t="shared" si="8"/>
        <v>0</v>
      </c>
      <c r="H90" s="15">
        <f t="shared" si="9"/>
        <v>0</v>
      </c>
      <c r="I90" s="15">
        <f t="shared" si="10"/>
        <v>0</v>
      </c>
      <c r="J90" s="15">
        <f t="shared" si="11"/>
        <v>0</v>
      </c>
    </row>
    <row r="91" spans="5:10" x14ac:dyDescent="0.3">
      <c r="E91" s="12">
        <f t="shared" si="6"/>
        <v>0</v>
      </c>
      <c r="F91" s="12">
        <f t="shared" si="7"/>
        <v>0</v>
      </c>
      <c r="G91" s="12">
        <f t="shared" si="8"/>
        <v>0</v>
      </c>
      <c r="H91" s="15">
        <f t="shared" si="9"/>
        <v>0</v>
      </c>
      <c r="I91" s="15">
        <f t="shared" si="10"/>
        <v>0</v>
      </c>
      <c r="J91" s="15">
        <f t="shared" si="11"/>
        <v>0</v>
      </c>
    </row>
    <row r="92" spans="5:10" x14ac:dyDescent="0.3">
      <c r="E92" s="12">
        <f t="shared" si="6"/>
        <v>0</v>
      </c>
      <c r="F92" s="12">
        <f t="shared" si="7"/>
        <v>0</v>
      </c>
      <c r="G92" s="12">
        <f t="shared" si="8"/>
        <v>0</v>
      </c>
      <c r="H92" s="15">
        <f t="shared" si="9"/>
        <v>0</v>
      </c>
      <c r="I92" s="15">
        <f t="shared" si="10"/>
        <v>0</v>
      </c>
      <c r="J92" s="15">
        <f t="shared" si="11"/>
        <v>0</v>
      </c>
    </row>
    <row r="93" spans="5:10" x14ac:dyDescent="0.3">
      <c r="E93" s="12">
        <f t="shared" si="6"/>
        <v>0</v>
      </c>
      <c r="F93" s="12">
        <f t="shared" si="7"/>
        <v>0</v>
      </c>
      <c r="G93" s="12">
        <f t="shared" si="8"/>
        <v>0</v>
      </c>
      <c r="H93" s="15">
        <f t="shared" si="9"/>
        <v>0</v>
      </c>
      <c r="I93" s="15">
        <f t="shared" si="10"/>
        <v>0</v>
      </c>
      <c r="J93" s="15">
        <f t="shared" si="11"/>
        <v>0</v>
      </c>
    </row>
    <row r="94" spans="5:10" x14ac:dyDescent="0.3">
      <c r="E94" s="12">
        <f t="shared" si="6"/>
        <v>0</v>
      </c>
      <c r="F94" s="12">
        <f t="shared" si="7"/>
        <v>0</v>
      </c>
      <c r="G94" s="12">
        <f t="shared" si="8"/>
        <v>0</v>
      </c>
      <c r="H94" s="15">
        <f t="shared" si="9"/>
        <v>0</v>
      </c>
      <c r="I94" s="15">
        <f t="shared" si="10"/>
        <v>0</v>
      </c>
      <c r="J94" s="15">
        <f t="shared" si="11"/>
        <v>0</v>
      </c>
    </row>
    <row r="95" spans="5:10" x14ac:dyDescent="0.3">
      <c r="E95" s="12">
        <f t="shared" si="6"/>
        <v>0</v>
      </c>
      <c r="F95" s="12">
        <f t="shared" si="7"/>
        <v>0</v>
      </c>
      <c r="G95" s="12">
        <f t="shared" si="8"/>
        <v>0</v>
      </c>
      <c r="H95" s="15">
        <f t="shared" si="9"/>
        <v>0</v>
      </c>
      <c r="I95" s="15">
        <f t="shared" si="10"/>
        <v>0</v>
      </c>
      <c r="J95" s="15">
        <f t="shared" si="11"/>
        <v>0</v>
      </c>
    </row>
    <row r="96" spans="5:10" x14ac:dyDescent="0.3">
      <c r="E96" s="12">
        <f t="shared" si="6"/>
        <v>0</v>
      </c>
      <c r="F96" s="12">
        <f t="shared" si="7"/>
        <v>0</v>
      </c>
      <c r="G96" s="12">
        <f t="shared" si="8"/>
        <v>0</v>
      </c>
      <c r="H96" s="15">
        <f t="shared" si="9"/>
        <v>0</v>
      </c>
      <c r="I96" s="15">
        <f t="shared" si="10"/>
        <v>0</v>
      </c>
      <c r="J96" s="15">
        <f t="shared" si="11"/>
        <v>0</v>
      </c>
    </row>
    <row r="97" spans="5:10" x14ac:dyDescent="0.3">
      <c r="E97" s="12">
        <f t="shared" si="6"/>
        <v>0</v>
      </c>
      <c r="F97" s="12">
        <f t="shared" si="7"/>
        <v>0</v>
      </c>
      <c r="G97" s="12">
        <f t="shared" si="8"/>
        <v>0</v>
      </c>
      <c r="H97" s="15">
        <f t="shared" si="9"/>
        <v>0</v>
      </c>
      <c r="I97" s="15">
        <f t="shared" si="10"/>
        <v>0</v>
      </c>
      <c r="J97" s="15">
        <f t="shared" si="11"/>
        <v>0</v>
      </c>
    </row>
    <row r="98" spans="5:10" x14ac:dyDescent="0.3">
      <c r="E98" s="12">
        <f t="shared" si="6"/>
        <v>0</v>
      </c>
      <c r="F98" s="12">
        <f t="shared" si="7"/>
        <v>0</v>
      </c>
      <c r="G98" s="12">
        <f t="shared" si="8"/>
        <v>0</v>
      </c>
      <c r="H98" s="15">
        <f t="shared" si="9"/>
        <v>0</v>
      </c>
      <c r="I98" s="15">
        <f t="shared" si="10"/>
        <v>0</v>
      </c>
      <c r="J98" s="15">
        <f t="shared" si="11"/>
        <v>0</v>
      </c>
    </row>
    <row r="99" spans="5:10" x14ac:dyDescent="0.3">
      <c r="E99" s="12">
        <f t="shared" si="6"/>
        <v>0</v>
      </c>
      <c r="F99" s="12">
        <f t="shared" si="7"/>
        <v>0</v>
      </c>
      <c r="G99" s="12">
        <f t="shared" si="8"/>
        <v>0</v>
      </c>
      <c r="H99" s="15">
        <f t="shared" si="9"/>
        <v>0</v>
      </c>
      <c r="I99" s="15">
        <f t="shared" si="10"/>
        <v>0</v>
      </c>
      <c r="J99" s="15">
        <f t="shared" si="11"/>
        <v>0</v>
      </c>
    </row>
    <row r="100" spans="5:10" x14ac:dyDescent="0.3">
      <c r="E100" s="12">
        <f t="shared" si="6"/>
        <v>0</v>
      </c>
      <c r="F100" s="12">
        <f t="shared" si="7"/>
        <v>0</v>
      </c>
      <c r="G100" s="12">
        <f t="shared" si="8"/>
        <v>0</v>
      </c>
      <c r="H100" s="15">
        <f t="shared" si="9"/>
        <v>0</v>
      </c>
      <c r="I100" s="15">
        <f t="shared" si="10"/>
        <v>0</v>
      </c>
      <c r="J100" s="15">
        <f t="shared" si="11"/>
        <v>0</v>
      </c>
    </row>
    <row r="101" spans="5:10" x14ac:dyDescent="0.3">
      <c r="E101" s="12">
        <f t="shared" si="6"/>
        <v>0</v>
      </c>
      <c r="F101" s="12">
        <f t="shared" si="7"/>
        <v>0</v>
      </c>
      <c r="G101" s="12">
        <f t="shared" si="8"/>
        <v>0</v>
      </c>
      <c r="H101" s="15">
        <f t="shared" si="9"/>
        <v>0</v>
      </c>
      <c r="I101" s="15">
        <f t="shared" si="10"/>
        <v>0</v>
      </c>
      <c r="J101" s="15">
        <f t="shared" si="11"/>
        <v>0</v>
      </c>
    </row>
    <row r="102" spans="5:10" x14ac:dyDescent="0.3">
      <c r="E102" s="12">
        <f t="shared" si="6"/>
        <v>0</v>
      </c>
      <c r="F102" s="12">
        <f t="shared" si="7"/>
        <v>0</v>
      </c>
      <c r="G102" s="12">
        <f t="shared" si="8"/>
        <v>0</v>
      </c>
      <c r="H102" s="15">
        <f t="shared" si="9"/>
        <v>0</v>
      </c>
      <c r="I102" s="15">
        <f t="shared" si="10"/>
        <v>0</v>
      </c>
      <c r="J102" s="15">
        <f t="shared" si="11"/>
        <v>0</v>
      </c>
    </row>
    <row r="103" spans="5:10" x14ac:dyDescent="0.3">
      <c r="E103" s="12">
        <f t="shared" si="6"/>
        <v>0</v>
      </c>
      <c r="F103" s="12">
        <f t="shared" si="7"/>
        <v>0</v>
      </c>
      <c r="G103" s="12">
        <f t="shared" si="8"/>
        <v>0</v>
      </c>
      <c r="H103" s="15">
        <f t="shared" si="9"/>
        <v>0</v>
      </c>
      <c r="I103" s="15">
        <f t="shared" si="10"/>
        <v>0</v>
      </c>
      <c r="J103" s="15">
        <f t="shared" si="11"/>
        <v>0</v>
      </c>
    </row>
    <row r="104" spans="5:10" x14ac:dyDescent="0.3">
      <c r="E104" s="12">
        <f t="shared" si="6"/>
        <v>0</v>
      </c>
      <c r="F104" s="12">
        <f t="shared" si="7"/>
        <v>0</v>
      </c>
      <c r="G104" s="12">
        <f t="shared" si="8"/>
        <v>0</v>
      </c>
      <c r="H104" s="15">
        <f t="shared" si="9"/>
        <v>0</v>
      </c>
      <c r="I104" s="15">
        <f t="shared" si="10"/>
        <v>0</v>
      </c>
      <c r="J104" s="15">
        <f t="shared" si="11"/>
        <v>0</v>
      </c>
    </row>
    <row r="105" spans="5:10" x14ac:dyDescent="0.3">
      <c r="E105" s="12">
        <f t="shared" si="6"/>
        <v>0</v>
      </c>
      <c r="F105" s="12">
        <f t="shared" si="7"/>
        <v>0</v>
      </c>
      <c r="G105" s="12">
        <f t="shared" si="8"/>
        <v>0</v>
      </c>
      <c r="H105" s="15">
        <f t="shared" si="9"/>
        <v>0</v>
      </c>
      <c r="I105" s="15">
        <f t="shared" si="10"/>
        <v>0</v>
      </c>
      <c r="J105" s="15">
        <f t="shared" si="11"/>
        <v>0</v>
      </c>
    </row>
    <row r="106" spans="5:10" x14ac:dyDescent="0.3">
      <c r="E106" s="12">
        <f t="shared" ref="E106:E139" si="12">C106*1.15</f>
        <v>0</v>
      </c>
      <c r="F106" s="12">
        <f t="shared" ref="F106:F139" si="13">C106*1.25</f>
        <v>0</v>
      </c>
      <c r="G106" s="12">
        <f t="shared" ref="G106:G139" si="14">C106*1.3</f>
        <v>0</v>
      </c>
      <c r="H106" s="15">
        <f t="shared" si="9"/>
        <v>0</v>
      </c>
      <c r="I106" s="15">
        <f t="shared" si="10"/>
        <v>0</v>
      </c>
      <c r="J106" s="15">
        <f t="shared" si="11"/>
        <v>0</v>
      </c>
    </row>
    <row r="107" spans="5:10" x14ac:dyDescent="0.3">
      <c r="E107" s="12">
        <f t="shared" si="12"/>
        <v>0</v>
      </c>
      <c r="F107" s="12">
        <f t="shared" si="13"/>
        <v>0</v>
      </c>
      <c r="G107" s="12">
        <f t="shared" si="14"/>
        <v>0</v>
      </c>
      <c r="H107" s="15">
        <f t="shared" si="9"/>
        <v>0</v>
      </c>
      <c r="I107" s="15">
        <f t="shared" si="10"/>
        <v>0</v>
      </c>
      <c r="J107" s="15">
        <f t="shared" si="11"/>
        <v>0</v>
      </c>
    </row>
    <row r="108" spans="5:10" x14ac:dyDescent="0.3">
      <c r="E108" s="12">
        <f t="shared" si="12"/>
        <v>0</v>
      </c>
      <c r="F108" s="12">
        <f t="shared" si="13"/>
        <v>0</v>
      </c>
      <c r="G108" s="12">
        <f t="shared" si="14"/>
        <v>0</v>
      </c>
      <c r="H108" s="15">
        <f t="shared" si="9"/>
        <v>0</v>
      </c>
      <c r="I108" s="15">
        <f t="shared" si="10"/>
        <v>0</v>
      </c>
      <c r="J108" s="15">
        <f t="shared" si="11"/>
        <v>0</v>
      </c>
    </row>
    <row r="109" spans="5:10" x14ac:dyDescent="0.3">
      <c r="E109" s="12">
        <f t="shared" si="12"/>
        <v>0</v>
      </c>
      <c r="F109" s="12">
        <f t="shared" si="13"/>
        <v>0</v>
      </c>
      <c r="G109" s="12">
        <f t="shared" si="14"/>
        <v>0</v>
      </c>
      <c r="H109" s="15">
        <f t="shared" si="9"/>
        <v>0</v>
      </c>
      <c r="I109" s="15">
        <f t="shared" si="10"/>
        <v>0</v>
      </c>
      <c r="J109" s="15">
        <f t="shared" si="11"/>
        <v>0</v>
      </c>
    </row>
    <row r="110" spans="5:10" x14ac:dyDescent="0.3">
      <c r="E110" s="12">
        <f t="shared" si="12"/>
        <v>0</v>
      </c>
      <c r="F110" s="12">
        <f t="shared" si="13"/>
        <v>0</v>
      </c>
      <c r="G110" s="12">
        <f t="shared" si="14"/>
        <v>0</v>
      </c>
      <c r="H110" s="15">
        <f t="shared" si="9"/>
        <v>0</v>
      </c>
      <c r="I110" s="15">
        <f t="shared" si="10"/>
        <v>0</v>
      </c>
      <c r="J110" s="15">
        <f t="shared" si="11"/>
        <v>0</v>
      </c>
    </row>
    <row r="111" spans="5:10" x14ac:dyDescent="0.3">
      <c r="E111" s="12">
        <f t="shared" si="12"/>
        <v>0</v>
      </c>
      <c r="F111" s="12">
        <f t="shared" si="13"/>
        <v>0</v>
      </c>
      <c r="G111" s="12">
        <f t="shared" si="14"/>
        <v>0</v>
      </c>
      <c r="H111" s="15">
        <f t="shared" si="9"/>
        <v>0</v>
      </c>
      <c r="I111" s="15">
        <f t="shared" si="10"/>
        <v>0</v>
      </c>
      <c r="J111" s="15">
        <f t="shared" si="11"/>
        <v>0</v>
      </c>
    </row>
    <row r="112" spans="5:10" x14ac:dyDescent="0.3">
      <c r="E112" s="12">
        <f t="shared" si="12"/>
        <v>0</v>
      </c>
      <c r="F112" s="12">
        <f t="shared" si="13"/>
        <v>0</v>
      </c>
      <c r="G112" s="12">
        <f t="shared" si="14"/>
        <v>0</v>
      </c>
      <c r="H112" s="15">
        <f t="shared" si="9"/>
        <v>0</v>
      </c>
      <c r="I112" s="15">
        <f t="shared" si="10"/>
        <v>0</v>
      </c>
      <c r="J112" s="15">
        <f t="shared" si="11"/>
        <v>0</v>
      </c>
    </row>
    <row r="113" spans="5:10" x14ac:dyDescent="0.3">
      <c r="E113" s="12">
        <f t="shared" si="12"/>
        <v>0</v>
      </c>
      <c r="F113" s="12">
        <f t="shared" si="13"/>
        <v>0</v>
      </c>
      <c r="G113" s="12">
        <f t="shared" si="14"/>
        <v>0</v>
      </c>
      <c r="H113" s="15">
        <f t="shared" si="9"/>
        <v>0</v>
      </c>
      <c r="I113" s="15">
        <f t="shared" si="10"/>
        <v>0</v>
      </c>
      <c r="J113" s="15">
        <f t="shared" si="11"/>
        <v>0</v>
      </c>
    </row>
    <row r="114" spans="5:10" x14ac:dyDescent="0.3">
      <c r="E114" s="12">
        <f t="shared" si="12"/>
        <v>0</v>
      </c>
      <c r="F114" s="12">
        <f t="shared" si="13"/>
        <v>0</v>
      </c>
      <c r="G114" s="12">
        <f t="shared" si="14"/>
        <v>0</v>
      </c>
      <c r="H114" s="15">
        <f t="shared" si="9"/>
        <v>0</v>
      </c>
      <c r="I114" s="15">
        <f t="shared" si="10"/>
        <v>0</v>
      </c>
      <c r="J114" s="15">
        <f t="shared" si="11"/>
        <v>0</v>
      </c>
    </row>
    <row r="115" spans="5:10" x14ac:dyDescent="0.3">
      <c r="E115" s="12">
        <f t="shared" si="12"/>
        <v>0</v>
      </c>
      <c r="F115" s="12">
        <f t="shared" si="13"/>
        <v>0</v>
      </c>
      <c r="G115" s="12">
        <f t="shared" si="14"/>
        <v>0</v>
      </c>
      <c r="H115" s="15">
        <f t="shared" si="9"/>
        <v>0</v>
      </c>
      <c r="I115" s="15">
        <f t="shared" si="10"/>
        <v>0</v>
      </c>
      <c r="J115" s="15">
        <f t="shared" si="11"/>
        <v>0</v>
      </c>
    </row>
    <row r="116" spans="5:10" x14ac:dyDescent="0.3">
      <c r="E116" s="12">
        <f t="shared" si="12"/>
        <v>0</v>
      </c>
      <c r="F116" s="12">
        <f t="shared" si="13"/>
        <v>0</v>
      </c>
      <c r="G116" s="12">
        <f t="shared" si="14"/>
        <v>0</v>
      </c>
      <c r="H116" s="15">
        <f t="shared" si="9"/>
        <v>0</v>
      </c>
      <c r="I116" s="15">
        <f t="shared" si="10"/>
        <v>0</v>
      </c>
      <c r="J116" s="15">
        <f t="shared" si="11"/>
        <v>0</v>
      </c>
    </row>
    <row r="117" spans="5:10" x14ac:dyDescent="0.3">
      <c r="E117" s="12">
        <f t="shared" si="12"/>
        <v>0</v>
      </c>
      <c r="F117" s="12">
        <f t="shared" si="13"/>
        <v>0</v>
      </c>
      <c r="G117" s="12">
        <f t="shared" si="14"/>
        <v>0</v>
      </c>
      <c r="H117" s="15">
        <f t="shared" si="9"/>
        <v>0</v>
      </c>
      <c r="I117" s="15">
        <f t="shared" si="10"/>
        <v>0</v>
      </c>
      <c r="J117" s="15">
        <f t="shared" si="11"/>
        <v>0</v>
      </c>
    </row>
    <row r="118" spans="5:10" x14ac:dyDescent="0.3">
      <c r="E118" s="12">
        <f t="shared" si="12"/>
        <v>0</v>
      </c>
      <c r="F118" s="12">
        <f t="shared" si="13"/>
        <v>0</v>
      </c>
      <c r="G118" s="12">
        <f t="shared" si="14"/>
        <v>0</v>
      </c>
      <c r="H118" s="15">
        <f t="shared" si="9"/>
        <v>0</v>
      </c>
      <c r="I118" s="15">
        <f t="shared" si="10"/>
        <v>0</v>
      </c>
      <c r="J118" s="15">
        <f t="shared" si="11"/>
        <v>0</v>
      </c>
    </row>
    <row r="119" spans="5:10" x14ac:dyDescent="0.3">
      <c r="E119" s="12">
        <f t="shared" si="12"/>
        <v>0</v>
      </c>
      <c r="F119" s="12">
        <f t="shared" si="13"/>
        <v>0</v>
      </c>
      <c r="G119" s="12">
        <f t="shared" si="14"/>
        <v>0</v>
      </c>
      <c r="H119" s="15">
        <f t="shared" si="9"/>
        <v>0</v>
      </c>
      <c r="I119" s="15">
        <f t="shared" si="10"/>
        <v>0</v>
      </c>
      <c r="J119" s="15">
        <f t="shared" si="11"/>
        <v>0</v>
      </c>
    </row>
    <row r="120" spans="5:10" x14ac:dyDescent="0.3">
      <c r="E120" s="12">
        <f t="shared" si="12"/>
        <v>0</v>
      </c>
      <c r="F120" s="12">
        <f t="shared" si="13"/>
        <v>0</v>
      </c>
      <c r="G120" s="12">
        <f t="shared" si="14"/>
        <v>0</v>
      </c>
      <c r="H120" s="15">
        <f t="shared" si="9"/>
        <v>0</v>
      </c>
      <c r="I120" s="15">
        <f t="shared" si="10"/>
        <v>0</v>
      </c>
      <c r="J120" s="15">
        <f t="shared" si="11"/>
        <v>0</v>
      </c>
    </row>
    <row r="121" spans="5:10" x14ac:dyDescent="0.3">
      <c r="E121" s="12">
        <f t="shared" si="12"/>
        <v>0</v>
      </c>
      <c r="F121" s="12">
        <f t="shared" si="13"/>
        <v>0</v>
      </c>
      <c r="G121" s="12">
        <f t="shared" si="14"/>
        <v>0</v>
      </c>
      <c r="H121" s="15">
        <f t="shared" si="9"/>
        <v>0</v>
      </c>
      <c r="I121" s="15">
        <f t="shared" si="10"/>
        <v>0</v>
      </c>
      <c r="J121" s="15">
        <f t="shared" si="11"/>
        <v>0</v>
      </c>
    </row>
    <row r="122" spans="5:10" x14ac:dyDescent="0.3">
      <c r="E122" s="12">
        <f t="shared" si="12"/>
        <v>0</v>
      </c>
      <c r="F122" s="12">
        <f t="shared" si="13"/>
        <v>0</v>
      </c>
      <c r="G122" s="12">
        <f t="shared" si="14"/>
        <v>0</v>
      </c>
      <c r="H122" s="15">
        <f t="shared" si="9"/>
        <v>0</v>
      </c>
      <c r="I122" s="15">
        <f t="shared" si="10"/>
        <v>0</v>
      </c>
      <c r="J122" s="15">
        <f t="shared" si="11"/>
        <v>0</v>
      </c>
    </row>
    <row r="123" spans="5:10" x14ac:dyDescent="0.3">
      <c r="E123" s="12">
        <f t="shared" si="12"/>
        <v>0</v>
      </c>
      <c r="F123" s="12">
        <f t="shared" si="13"/>
        <v>0</v>
      </c>
      <c r="G123" s="12">
        <f t="shared" si="14"/>
        <v>0</v>
      </c>
      <c r="H123" s="15">
        <f t="shared" si="9"/>
        <v>0</v>
      </c>
      <c r="I123" s="15">
        <f t="shared" si="10"/>
        <v>0</v>
      </c>
      <c r="J123" s="15">
        <f t="shared" si="11"/>
        <v>0</v>
      </c>
    </row>
    <row r="124" spans="5:10" x14ac:dyDescent="0.3">
      <c r="E124" s="12">
        <f t="shared" si="12"/>
        <v>0</v>
      </c>
      <c r="F124" s="12">
        <f t="shared" si="13"/>
        <v>0</v>
      </c>
      <c r="G124" s="12">
        <f t="shared" si="14"/>
        <v>0</v>
      </c>
      <c r="H124" s="15">
        <f t="shared" si="9"/>
        <v>0</v>
      </c>
      <c r="I124" s="15">
        <f t="shared" si="10"/>
        <v>0</v>
      </c>
      <c r="J124" s="15">
        <f t="shared" si="11"/>
        <v>0</v>
      </c>
    </row>
    <row r="125" spans="5:10" x14ac:dyDescent="0.3">
      <c r="E125" s="12">
        <f t="shared" si="12"/>
        <v>0</v>
      </c>
      <c r="F125" s="12">
        <f t="shared" si="13"/>
        <v>0</v>
      </c>
      <c r="G125" s="12">
        <f t="shared" si="14"/>
        <v>0</v>
      </c>
      <c r="H125" s="15">
        <f t="shared" si="9"/>
        <v>0</v>
      </c>
      <c r="I125" s="15">
        <f t="shared" si="10"/>
        <v>0</v>
      </c>
      <c r="J125" s="15">
        <f t="shared" si="11"/>
        <v>0</v>
      </c>
    </row>
    <row r="126" spans="5:10" x14ac:dyDescent="0.3">
      <c r="E126" s="12">
        <f t="shared" si="12"/>
        <v>0</v>
      </c>
      <c r="F126" s="12">
        <f t="shared" si="13"/>
        <v>0</v>
      </c>
      <c r="G126" s="12">
        <f t="shared" si="14"/>
        <v>0</v>
      </c>
      <c r="H126" s="15">
        <f t="shared" si="9"/>
        <v>0</v>
      </c>
      <c r="I126" s="15">
        <f t="shared" si="10"/>
        <v>0</v>
      </c>
      <c r="J126" s="15">
        <f t="shared" si="11"/>
        <v>0</v>
      </c>
    </row>
    <row r="127" spans="5:10" x14ac:dyDescent="0.3">
      <c r="E127" s="12">
        <f t="shared" si="12"/>
        <v>0</v>
      </c>
      <c r="F127" s="12">
        <f t="shared" si="13"/>
        <v>0</v>
      </c>
      <c r="G127" s="12">
        <f t="shared" si="14"/>
        <v>0</v>
      </c>
      <c r="H127" s="15">
        <f t="shared" si="9"/>
        <v>0</v>
      </c>
      <c r="I127" s="15">
        <f t="shared" si="10"/>
        <v>0</v>
      </c>
      <c r="J127" s="15">
        <f t="shared" si="11"/>
        <v>0</v>
      </c>
    </row>
    <row r="128" spans="5:10" x14ac:dyDescent="0.3">
      <c r="E128" s="12">
        <f t="shared" si="12"/>
        <v>0</v>
      </c>
      <c r="F128" s="12">
        <f t="shared" si="13"/>
        <v>0</v>
      </c>
      <c r="G128" s="12">
        <f t="shared" si="14"/>
        <v>0</v>
      </c>
      <c r="H128" s="15">
        <f t="shared" si="9"/>
        <v>0</v>
      </c>
      <c r="I128" s="15">
        <f t="shared" si="10"/>
        <v>0</v>
      </c>
      <c r="J128" s="15">
        <f t="shared" si="11"/>
        <v>0</v>
      </c>
    </row>
    <row r="129" spans="5:10" x14ac:dyDescent="0.3">
      <c r="E129" s="12">
        <f t="shared" si="12"/>
        <v>0</v>
      </c>
      <c r="F129" s="12">
        <f t="shared" si="13"/>
        <v>0</v>
      </c>
      <c r="G129" s="12">
        <f t="shared" si="14"/>
        <v>0</v>
      </c>
      <c r="H129" s="15">
        <f t="shared" si="9"/>
        <v>0</v>
      </c>
      <c r="I129" s="15">
        <f t="shared" si="10"/>
        <v>0</v>
      </c>
      <c r="J129" s="15">
        <f t="shared" si="11"/>
        <v>0</v>
      </c>
    </row>
    <row r="130" spans="5:10" x14ac:dyDescent="0.3">
      <c r="E130" s="12">
        <f t="shared" si="12"/>
        <v>0</v>
      </c>
      <c r="F130" s="12">
        <f t="shared" si="13"/>
        <v>0</v>
      </c>
      <c r="G130" s="12">
        <f t="shared" si="14"/>
        <v>0</v>
      </c>
      <c r="H130" s="15">
        <f t="shared" si="9"/>
        <v>0</v>
      </c>
      <c r="I130" s="15">
        <f t="shared" si="10"/>
        <v>0</v>
      </c>
      <c r="J130" s="15">
        <f t="shared" si="11"/>
        <v>0</v>
      </c>
    </row>
    <row r="131" spans="5:10" x14ac:dyDescent="0.3">
      <c r="E131" s="12">
        <f t="shared" si="12"/>
        <v>0</v>
      </c>
      <c r="F131" s="12">
        <f t="shared" si="13"/>
        <v>0</v>
      </c>
      <c r="G131" s="12">
        <f t="shared" si="14"/>
        <v>0</v>
      </c>
      <c r="H131" s="15">
        <f t="shared" ref="H131:H139" si="15">E131*1.21</f>
        <v>0</v>
      </c>
      <c r="I131" s="15">
        <f t="shared" ref="I131:I139" si="16">F131*1.21</f>
        <v>0</v>
      </c>
      <c r="J131" s="15">
        <f t="shared" ref="J131:J139" si="17">G131*1.21</f>
        <v>0</v>
      </c>
    </row>
    <row r="132" spans="5:10" x14ac:dyDescent="0.3">
      <c r="E132" s="12">
        <f t="shared" si="12"/>
        <v>0</v>
      </c>
      <c r="F132" s="12">
        <f t="shared" si="13"/>
        <v>0</v>
      </c>
      <c r="G132" s="12">
        <f t="shared" si="14"/>
        <v>0</v>
      </c>
      <c r="H132" s="15">
        <f t="shared" si="15"/>
        <v>0</v>
      </c>
      <c r="I132" s="15">
        <f t="shared" si="16"/>
        <v>0</v>
      </c>
      <c r="J132" s="15">
        <f t="shared" si="17"/>
        <v>0</v>
      </c>
    </row>
    <row r="133" spans="5:10" x14ac:dyDescent="0.3">
      <c r="E133" s="12">
        <f t="shared" si="12"/>
        <v>0</v>
      </c>
      <c r="F133" s="12">
        <f t="shared" si="13"/>
        <v>0</v>
      </c>
      <c r="G133" s="12">
        <f t="shared" si="14"/>
        <v>0</v>
      </c>
      <c r="H133" s="15">
        <f t="shared" si="15"/>
        <v>0</v>
      </c>
      <c r="I133" s="15">
        <f t="shared" si="16"/>
        <v>0</v>
      </c>
      <c r="J133" s="15">
        <f t="shared" si="17"/>
        <v>0</v>
      </c>
    </row>
    <row r="134" spans="5:10" x14ac:dyDescent="0.3">
      <c r="E134" s="12">
        <f t="shared" si="12"/>
        <v>0</v>
      </c>
      <c r="F134" s="12">
        <f t="shared" si="13"/>
        <v>0</v>
      </c>
      <c r="G134" s="12">
        <f t="shared" si="14"/>
        <v>0</v>
      </c>
      <c r="H134" s="15">
        <f t="shared" si="15"/>
        <v>0</v>
      </c>
      <c r="I134" s="15">
        <f t="shared" si="16"/>
        <v>0</v>
      </c>
      <c r="J134" s="15">
        <f t="shared" si="17"/>
        <v>0</v>
      </c>
    </row>
    <row r="135" spans="5:10" x14ac:dyDescent="0.3">
      <c r="E135" s="12">
        <f t="shared" si="12"/>
        <v>0</v>
      </c>
      <c r="F135" s="12">
        <f t="shared" si="13"/>
        <v>0</v>
      </c>
      <c r="G135" s="12">
        <f t="shared" si="14"/>
        <v>0</v>
      </c>
      <c r="H135" s="15">
        <f t="shared" si="15"/>
        <v>0</v>
      </c>
      <c r="I135" s="15">
        <f t="shared" si="16"/>
        <v>0</v>
      </c>
      <c r="J135" s="15">
        <f t="shared" si="17"/>
        <v>0</v>
      </c>
    </row>
    <row r="136" spans="5:10" x14ac:dyDescent="0.3">
      <c r="E136" s="12">
        <f t="shared" si="12"/>
        <v>0</v>
      </c>
      <c r="F136" s="12">
        <f t="shared" si="13"/>
        <v>0</v>
      </c>
      <c r="G136" s="12">
        <f t="shared" si="14"/>
        <v>0</v>
      </c>
      <c r="H136" s="15">
        <f t="shared" si="15"/>
        <v>0</v>
      </c>
      <c r="I136" s="15">
        <f t="shared" si="16"/>
        <v>0</v>
      </c>
      <c r="J136" s="15">
        <f t="shared" si="17"/>
        <v>0</v>
      </c>
    </row>
    <row r="137" spans="5:10" x14ac:dyDescent="0.3">
      <c r="E137" s="12">
        <f t="shared" si="12"/>
        <v>0</v>
      </c>
      <c r="F137" s="12">
        <f t="shared" si="13"/>
        <v>0</v>
      </c>
      <c r="G137" s="12">
        <f t="shared" si="14"/>
        <v>0</v>
      </c>
      <c r="H137" s="15">
        <f t="shared" si="15"/>
        <v>0</v>
      </c>
      <c r="I137" s="15">
        <f t="shared" si="16"/>
        <v>0</v>
      </c>
      <c r="J137" s="15">
        <f t="shared" si="17"/>
        <v>0</v>
      </c>
    </row>
    <row r="138" spans="5:10" x14ac:dyDescent="0.3">
      <c r="E138" s="12">
        <f t="shared" si="12"/>
        <v>0</v>
      </c>
      <c r="F138" s="12">
        <f t="shared" si="13"/>
        <v>0</v>
      </c>
      <c r="G138" s="12">
        <f t="shared" si="14"/>
        <v>0</v>
      </c>
      <c r="H138" s="15">
        <f t="shared" si="15"/>
        <v>0</v>
      </c>
      <c r="I138" s="15">
        <f t="shared" si="16"/>
        <v>0</v>
      </c>
      <c r="J138" s="15">
        <f t="shared" si="17"/>
        <v>0</v>
      </c>
    </row>
    <row r="139" spans="5:10" x14ac:dyDescent="0.3">
      <c r="E139" s="12">
        <f t="shared" si="12"/>
        <v>0</v>
      </c>
      <c r="F139" s="12">
        <f t="shared" si="13"/>
        <v>0</v>
      </c>
      <c r="G139" s="12">
        <f t="shared" si="14"/>
        <v>0</v>
      </c>
      <c r="H139" s="15">
        <f t="shared" si="15"/>
        <v>0</v>
      </c>
      <c r="I139" s="15">
        <f t="shared" si="16"/>
        <v>0</v>
      </c>
      <c r="J139" s="15">
        <f t="shared" si="17"/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CALCULADOR FINANCIERA</vt:lpstr>
      <vt:lpstr>TARJETA DE CREDITO</vt:lpstr>
      <vt:lpstr>LISTA PRECIOS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Milesi</dc:creator>
  <cp:lastModifiedBy>julian rodriguez</cp:lastModifiedBy>
  <dcterms:created xsi:type="dcterms:W3CDTF">2026-04-09T13:01:45Z</dcterms:created>
  <dcterms:modified xsi:type="dcterms:W3CDTF">2026-08-16T20:32:27Z</dcterms:modified>
</cp:coreProperties>
</file>