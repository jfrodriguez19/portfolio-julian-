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ca30e69a4787da0f/Escritorio/cosas/PORTAFOLIO/EXEL CALCULADOR CUOTAS/"/>
    </mc:Choice>
  </mc:AlternateContent>
  <xr:revisionPtr revIDLastSave="0" documentId="11_EBC11F8A4F1D27137AF2A8639C5C22C1CFFCA3D3" xr6:coauthVersionLast="47" xr6:coauthVersionMax="47" xr10:uidLastSave="{00000000-0000-0000-0000-000000000000}"/>
  <bookViews>
    <workbookView xWindow="5760" yWindow="3360" windowWidth="17280" windowHeight="888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NpTf6YKRGzXR2zs7Qwx4k9ZvWwNQYfkKlh6Aqwr3U4A="/>
    </ext>
  </extLst>
</workbook>
</file>

<file path=xl/calcChain.xml><?xml version="1.0" encoding="utf-8"?>
<calcChain xmlns="http://schemas.openxmlformats.org/spreadsheetml/2006/main">
  <c r="E10" i="1" l="1"/>
  <c r="D10" i="1"/>
  <c r="C10" i="1"/>
  <c r="F6" i="1"/>
  <c r="E6" i="1"/>
  <c r="D6" i="1"/>
  <c r="C6" i="1"/>
  <c r="B6" i="1"/>
</calcChain>
</file>

<file path=xl/sharedStrings.xml><?xml version="1.0" encoding="utf-8"?>
<sst xmlns="http://schemas.openxmlformats.org/spreadsheetml/2006/main" count="12" uniqueCount="12">
  <si>
    <t>CALCULADOR DE CUOTAS</t>
  </si>
  <si>
    <t>CUOTAS SIN INTERES</t>
  </si>
  <si>
    <t>X3</t>
  </si>
  <si>
    <t>X6</t>
  </si>
  <si>
    <t>X9</t>
  </si>
  <si>
    <t>X12</t>
  </si>
  <si>
    <t>X1 (10% DESCUENTO)</t>
  </si>
  <si>
    <t xml:space="preserve">FINANCIACION PROPIA </t>
  </si>
  <si>
    <t>X1 (CON 25% DE RECARGO)</t>
  </si>
  <si>
    <t>X3 (CON INTERES 48% RECARGO)</t>
  </si>
  <si>
    <t>X6 (CON INTERES 60% RECARGO)</t>
  </si>
  <si>
    <t>X9 (CON INTERES 95% RECARGO)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</si>
</sst>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.00"/>
    <numFmt numFmtId="165" formatCode="[$ $]#,##0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A8D08D"/>
        <bgColor rgb="FFA8D08D"/>
      </patternFill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1" fillId="2" borderId="1" xfId="0" applyNumberFormat="1" applyFont="1" applyFill="1" applyBorder="1" applyAlignment="1">
      <alignment horizontal="left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164" fontId="1" fillId="3" borderId="1" xfId="0" applyNumberFormat="1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165" fontId="2" fillId="0" borderId="1" xfId="0" applyNumberFormat="1" applyFont="1" applyBorder="1" applyAlignment="1">
      <alignment horizontal="left"/>
    </xf>
    <xf numFmtId="164" fontId="2" fillId="3" borderId="1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6"/>
  <sheetViews>
    <sheetView tabSelected="1" workbookViewId="0"/>
  </sheetViews>
  <sheetFormatPr baseColWidth="10" defaultColWidth="14.44140625" defaultRowHeight="15" customHeight="1" x14ac:dyDescent="0.3"/>
  <cols>
    <col min="1" max="1" width="48.109375" customWidth="1"/>
    <col min="2" max="2" width="26" customWidth="1"/>
    <col min="3" max="3" width="29.5546875" customWidth="1"/>
    <col min="4" max="4" width="29.33203125" customWidth="1"/>
    <col min="5" max="5" width="28.88671875" customWidth="1"/>
    <col min="6" max="6" width="19.6640625" customWidth="1"/>
    <col min="7" max="26" width="10.6640625" customWidth="1"/>
  </cols>
  <sheetData>
    <row r="1" spans="1:26" ht="14.4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4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6">
        <v>300000</v>
      </c>
      <c r="B6" s="6">
        <f>A6/3</f>
        <v>100000</v>
      </c>
      <c r="C6" s="6">
        <f>A6/6</f>
        <v>50000</v>
      </c>
      <c r="D6" s="6">
        <f>A6/9</f>
        <v>33333.333333333336</v>
      </c>
      <c r="E6" s="6">
        <f>A6/12</f>
        <v>25000</v>
      </c>
      <c r="F6" s="6">
        <f>A6 * (1 - 10%)</f>
        <v>270000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3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3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7" t="s">
        <v>7</v>
      </c>
      <c r="B9" s="7" t="s">
        <v>8</v>
      </c>
      <c r="C9" s="8" t="s">
        <v>9</v>
      </c>
      <c r="D9" s="8" t="s">
        <v>10</v>
      </c>
      <c r="E9" s="8" t="s">
        <v>11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6">
        <v>300000</v>
      </c>
      <c r="B10" s="9"/>
      <c r="C10" s="6">
        <f>A10*1.48/3</f>
        <v>148000</v>
      </c>
      <c r="D10" s="6">
        <f>A10*1.6/6</f>
        <v>80000</v>
      </c>
      <c r="E10" s="6">
        <f>A10*1.95/9</f>
        <v>65000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3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3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3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3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3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">
      <c r="A16" s="3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">
      <c r="A17" s="3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">
      <c r="A18" s="3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">
      <c r="A19" s="3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">
      <c r="A20" s="3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3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3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3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3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3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3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3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3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3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3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4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SUCURSAL</dc:creator>
  <cp:lastModifiedBy>julian rodriguez</cp:lastModifiedBy>
  <dcterms:created xsi:type="dcterms:W3CDTF">2024-12-03T19:43:40Z</dcterms:created>
  <dcterms:modified xsi:type="dcterms:W3CDTF">2026-08-03T19:23:35Z</dcterms:modified>
</cp:coreProperties>
</file>